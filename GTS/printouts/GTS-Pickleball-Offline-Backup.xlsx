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space\IAG\GTS\printouts\"/>
    </mc:Choice>
  </mc:AlternateContent>
  <xr:revisionPtr revIDLastSave="0" documentId="13_ncr:1_{3E2C419A-7A1C-4384-9098-A85EDE4D61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edule" sheetId="1" r:id="rId1"/>
    <sheet name="Open 3.0" sheetId="2" r:id="rId2"/>
    <sheet name="Open 3.5" sheetId="3" r:id="rId3"/>
    <sheet name="Mixed Doubles" sheetId="4" r:id="rId4"/>
    <sheet name="Open 4.0" sheetId="5" r:id="rId5"/>
    <sheet name="Social Doubles" sheetId="6" r:id="rId6"/>
    <sheet name="How to use" sheetId="7" r:id="rId7"/>
  </sheets>
  <definedNames>
    <definedName name="_xlnm.Print_Titles" localSheetId="0">Schedule!$4:$4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6" l="1"/>
  <c r="E8" i="6"/>
  <c r="G8" i="6" s="1"/>
  <c r="C8" i="6"/>
  <c r="J8" i="6" s="1"/>
  <c r="B8" i="6"/>
  <c r="D8" i="6" s="1"/>
  <c r="F7" i="6"/>
  <c r="E7" i="6"/>
  <c r="G7" i="6" s="1"/>
  <c r="C7" i="6"/>
  <c r="B7" i="6"/>
  <c r="D7" i="6" s="1"/>
  <c r="F6" i="6"/>
  <c r="E6" i="6"/>
  <c r="G6" i="6" s="1"/>
  <c r="C6" i="6"/>
  <c r="J6" i="6" s="1"/>
  <c r="B6" i="6"/>
  <c r="D6" i="6" s="1"/>
  <c r="F5" i="6"/>
  <c r="E5" i="6"/>
  <c r="G5" i="6" s="1"/>
  <c r="J5" i="6" s="1"/>
  <c r="C5" i="6"/>
  <c r="B5" i="6"/>
  <c r="D5" i="6" s="1"/>
  <c r="F12" i="5"/>
  <c r="E12" i="5"/>
  <c r="G12" i="5" s="1"/>
  <c r="C12" i="5"/>
  <c r="J12" i="5" s="1"/>
  <c r="B12" i="5"/>
  <c r="D12" i="5" s="1"/>
  <c r="F11" i="5"/>
  <c r="E11" i="5"/>
  <c r="G11" i="5" s="1"/>
  <c r="C11" i="5"/>
  <c r="J11" i="5" s="1"/>
  <c r="B11" i="5"/>
  <c r="D11" i="5" s="1"/>
  <c r="F10" i="5"/>
  <c r="E10" i="5"/>
  <c r="G10" i="5" s="1"/>
  <c r="C10" i="5"/>
  <c r="J10" i="5" s="1"/>
  <c r="B10" i="5"/>
  <c r="D10" i="5" s="1"/>
  <c r="F9" i="5"/>
  <c r="E9" i="5"/>
  <c r="C9" i="5"/>
  <c r="B9" i="5"/>
  <c r="D9" i="5" s="1"/>
  <c r="F8" i="5"/>
  <c r="E8" i="5"/>
  <c r="G8" i="5" s="1"/>
  <c r="C8" i="5"/>
  <c r="J8" i="5" s="1"/>
  <c r="B8" i="5"/>
  <c r="D8" i="5" s="1"/>
  <c r="F7" i="5"/>
  <c r="E7" i="5"/>
  <c r="G7" i="5" s="1"/>
  <c r="C7" i="5"/>
  <c r="J7" i="5" s="1"/>
  <c r="B7" i="5"/>
  <c r="D7" i="5" s="1"/>
  <c r="F6" i="5"/>
  <c r="E6" i="5"/>
  <c r="G6" i="5" s="1"/>
  <c r="C6" i="5"/>
  <c r="B6" i="5"/>
  <c r="F5" i="5"/>
  <c r="E5" i="5"/>
  <c r="C5" i="5"/>
  <c r="B5" i="5"/>
  <c r="D5" i="5" s="1"/>
  <c r="F10" i="4"/>
  <c r="E10" i="4"/>
  <c r="G10" i="4" s="1"/>
  <c r="C10" i="4"/>
  <c r="J10" i="4" s="1"/>
  <c r="B10" i="4"/>
  <c r="D10" i="4" s="1"/>
  <c r="F9" i="4"/>
  <c r="E9" i="4"/>
  <c r="G9" i="4" s="1"/>
  <c r="C9" i="4"/>
  <c r="J9" i="4" s="1"/>
  <c r="B9" i="4"/>
  <c r="D9" i="4" s="1"/>
  <c r="F8" i="4"/>
  <c r="E8" i="4"/>
  <c r="G8" i="4" s="1"/>
  <c r="C8" i="4"/>
  <c r="B8" i="4"/>
  <c r="D8" i="4" s="1"/>
  <c r="F7" i="4"/>
  <c r="E7" i="4"/>
  <c r="G7" i="4" s="1"/>
  <c r="C7" i="4"/>
  <c r="J7" i="4" s="1"/>
  <c r="B7" i="4"/>
  <c r="D7" i="4" s="1"/>
  <c r="F6" i="4"/>
  <c r="E6" i="4"/>
  <c r="G6" i="4" s="1"/>
  <c r="C6" i="4"/>
  <c r="J6" i="4" s="1"/>
  <c r="B6" i="4"/>
  <c r="D6" i="4" s="1"/>
  <c r="F5" i="4"/>
  <c r="E5" i="4"/>
  <c r="G5" i="4" s="1"/>
  <c r="C5" i="4"/>
  <c r="B5" i="4"/>
  <c r="D5" i="4" s="1"/>
  <c r="F14" i="3"/>
  <c r="E14" i="3"/>
  <c r="G14" i="3" s="1"/>
  <c r="C14" i="3"/>
  <c r="B14" i="3"/>
  <c r="D14" i="3" s="1"/>
  <c r="F13" i="3"/>
  <c r="E13" i="3"/>
  <c r="G13" i="3" s="1"/>
  <c r="C13" i="3"/>
  <c r="B13" i="3"/>
  <c r="F12" i="3"/>
  <c r="E12" i="3"/>
  <c r="G12" i="3" s="1"/>
  <c r="C12" i="3"/>
  <c r="J12" i="3" s="1"/>
  <c r="B12" i="3"/>
  <c r="F11" i="3"/>
  <c r="E11" i="3"/>
  <c r="G11" i="3" s="1"/>
  <c r="C11" i="3"/>
  <c r="B11" i="3"/>
  <c r="F10" i="3"/>
  <c r="E10" i="3"/>
  <c r="G10" i="3" s="1"/>
  <c r="C10" i="3"/>
  <c r="J10" i="3" s="1"/>
  <c r="B10" i="3"/>
  <c r="F9" i="3"/>
  <c r="E9" i="3"/>
  <c r="G9" i="3" s="1"/>
  <c r="C9" i="3"/>
  <c r="J9" i="3" s="1"/>
  <c r="B9" i="3"/>
  <c r="D9" i="3" s="1"/>
  <c r="F8" i="3"/>
  <c r="E8" i="3"/>
  <c r="G8" i="3" s="1"/>
  <c r="C8" i="3"/>
  <c r="J8" i="3" s="1"/>
  <c r="B8" i="3"/>
  <c r="D8" i="3" s="1"/>
  <c r="F7" i="3"/>
  <c r="E7" i="3"/>
  <c r="C7" i="3"/>
  <c r="B7" i="3"/>
  <c r="D7" i="3" s="1"/>
  <c r="F6" i="3"/>
  <c r="E6" i="3"/>
  <c r="G6" i="3" s="1"/>
  <c r="C6" i="3"/>
  <c r="B6" i="3"/>
  <c r="D6" i="3" s="1"/>
  <c r="F5" i="3"/>
  <c r="E5" i="3"/>
  <c r="G5" i="3" s="1"/>
  <c r="C5" i="3"/>
  <c r="B5" i="3"/>
  <c r="D5" i="3" s="1"/>
  <c r="F10" i="2"/>
  <c r="E10" i="2"/>
  <c r="G10" i="2" s="1"/>
  <c r="C10" i="2"/>
  <c r="B10" i="2"/>
  <c r="D10" i="2" s="1"/>
  <c r="F9" i="2"/>
  <c r="E9" i="2"/>
  <c r="G9" i="2" s="1"/>
  <c r="C9" i="2"/>
  <c r="B9" i="2"/>
  <c r="D9" i="2" s="1"/>
  <c r="F8" i="2"/>
  <c r="E8" i="2"/>
  <c r="G8" i="2" s="1"/>
  <c r="C8" i="2"/>
  <c r="B8" i="2"/>
  <c r="D8" i="2" s="1"/>
  <c r="F7" i="2"/>
  <c r="E7" i="2"/>
  <c r="G7" i="2" s="1"/>
  <c r="C7" i="2"/>
  <c r="J7" i="2" s="1"/>
  <c r="B7" i="2"/>
  <c r="D7" i="2" s="1"/>
  <c r="F6" i="2"/>
  <c r="E6" i="2"/>
  <c r="G6" i="2" s="1"/>
  <c r="C6" i="2"/>
  <c r="B6" i="2"/>
  <c r="F5" i="2"/>
  <c r="E5" i="2"/>
  <c r="G5" i="2" s="1"/>
  <c r="C5" i="2"/>
  <c r="J5" i="2" s="1"/>
  <c r="B5" i="2"/>
  <c r="D5" i="2" s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J7" i="6" l="1"/>
  <c r="G9" i="5"/>
  <c r="J9" i="5" s="1"/>
  <c r="G5" i="5"/>
  <c r="J5" i="5" s="1"/>
  <c r="J8" i="4"/>
  <c r="J13" i="3"/>
  <c r="J14" i="3"/>
  <c r="D12" i="3"/>
  <c r="D10" i="3"/>
  <c r="G7" i="3"/>
  <c r="J7" i="3" s="1"/>
  <c r="D13" i="3"/>
  <c r="J6" i="3"/>
  <c r="J9" i="2"/>
  <c r="J8" i="2"/>
  <c r="H8" i="2" s="1"/>
  <c r="D6" i="5"/>
  <c r="J6" i="5"/>
  <c r="J11" i="3"/>
  <c r="D11" i="3"/>
  <c r="J6" i="2"/>
  <c r="D6" i="2"/>
  <c r="H7" i="6"/>
  <c r="H12" i="5"/>
  <c r="H9" i="5"/>
  <c r="J5" i="4"/>
  <c r="J5" i="3"/>
  <c r="J10" i="2"/>
  <c r="H10" i="2" l="1"/>
  <c r="H5" i="6"/>
  <c r="H6" i="6"/>
  <c r="H8" i="6"/>
  <c r="H7" i="5"/>
  <c r="H5" i="5"/>
  <c r="H8" i="5"/>
  <c r="H10" i="5"/>
  <c r="H11" i="5"/>
  <c r="H6" i="5"/>
  <c r="H5" i="2"/>
  <c r="H7" i="2"/>
  <c r="H9" i="2"/>
  <c r="H6" i="2"/>
  <c r="H8" i="4"/>
  <c r="H9" i="4"/>
  <c r="H10" i="4"/>
  <c r="H6" i="4"/>
  <c r="H7" i="4"/>
  <c r="H5" i="4"/>
  <c r="H8" i="3"/>
  <c r="H7" i="3"/>
  <c r="H6" i="3"/>
  <c r="H9" i="3"/>
  <c r="H10" i="3"/>
  <c r="H12" i="3"/>
  <c r="H13" i="3"/>
  <c r="H14" i="3"/>
  <c r="H5" i="3"/>
  <c r="H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GTS</author>
  </authors>
  <commentList>
    <comment ref="G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Tie scores turn red. League: to 11, win by 2, first to 15 wins. Semis: to 15, win by 2, first to 21 wins. Finals: best of 3 games, each like a league game.</t>
        </r>
      </text>
    </comment>
  </commentList>
</comments>
</file>

<file path=xl/sharedStrings.xml><?xml version="1.0" encoding="utf-8"?>
<sst xmlns="http://schemas.openxmlformats.org/spreadsheetml/2006/main" count="560" uniqueCount="188">
  <si>
    <t>GTS Pickleball 2026 — offline backup (use only if the website is down)</t>
  </si>
  <si>
    <t>Type scores in the yellow cells. League/semis: points in G1. Finals: up to 3 games. For semis and finals, type the team names in the yellow Team cells (use the Standings tabs for seeds).</t>
  </si>
  <si>
    <t>Time</t>
  </si>
  <si>
    <t>Court</t>
  </si>
  <si>
    <t>Division</t>
  </si>
  <si>
    <t>Stage</t>
  </si>
  <si>
    <t>Team A</t>
  </si>
  <si>
    <t>Team B</t>
  </si>
  <si>
    <t>G1 A</t>
  </si>
  <si>
    <t>G1 B</t>
  </si>
  <si>
    <t>G2 A</t>
  </si>
  <si>
    <t>G2 B</t>
  </si>
  <si>
    <t>G3 A</t>
  </si>
  <si>
    <t>G3 B</t>
  </si>
  <si>
    <t>Winner</t>
  </si>
  <si>
    <t>Match ID</t>
  </si>
  <si>
    <t>7:00 AM</t>
  </si>
  <si>
    <t>Open 3.5</t>
  </si>
  <si>
    <t>League</t>
  </si>
  <si>
    <t>Venkat &amp; Immanuel</t>
  </si>
  <si>
    <t>Scott &amp; Harshad</t>
  </si>
  <si>
    <t>o35-L01</t>
  </si>
  <si>
    <t>GV Lakshman &amp; Brad Salyers</t>
  </si>
  <si>
    <t>Shari &amp; Michelle</t>
  </si>
  <si>
    <t>o35-L02</t>
  </si>
  <si>
    <t>Vamsi &amp; Vanith</t>
  </si>
  <si>
    <t>Thiru &amp; Gitanshu</t>
  </si>
  <si>
    <t>o35-L03</t>
  </si>
  <si>
    <t>Singa &amp; Sekar</t>
  </si>
  <si>
    <t>Satish &amp; Mahesh</t>
  </si>
  <si>
    <t>o35-L04</t>
  </si>
  <si>
    <t>Open 3.0</t>
  </si>
  <si>
    <t>Karthik Peddireddy &amp; Jaimin Raval</t>
  </si>
  <si>
    <t>Ramesh &amp; Kelly</t>
  </si>
  <si>
    <t>o30-L01</t>
  </si>
  <si>
    <t>Sreeni &amp; Rajmohan</t>
  </si>
  <si>
    <t>Cody &amp; Lexy</t>
  </si>
  <si>
    <t>o30-L02</t>
  </si>
  <si>
    <t>7:10 AM</t>
  </si>
  <si>
    <t>Hari &amp; Madhu</t>
  </si>
  <si>
    <t>Sandeep &amp; Jagan</t>
  </si>
  <si>
    <t>o35-L05</t>
  </si>
  <si>
    <t>o35-L06</t>
  </si>
  <si>
    <t>o35-L07</t>
  </si>
  <si>
    <t>o35-L08</t>
  </si>
  <si>
    <t>Raja &amp; Praveen</t>
  </si>
  <si>
    <t>Sunil Rajulapati &amp; Chalapathi Rao</t>
  </si>
  <si>
    <t>o30-L03</t>
  </si>
  <si>
    <t>o30-L04</t>
  </si>
  <si>
    <t>7:20 AM</t>
  </si>
  <si>
    <t>o35-L09</t>
  </si>
  <si>
    <t>o35-L10</t>
  </si>
  <si>
    <t>o30-L05</t>
  </si>
  <si>
    <t>o30-L06</t>
  </si>
  <si>
    <t>7:25 AM</t>
  </si>
  <si>
    <t>o35-L11</t>
  </si>
  <si>
    <t>o35-L12</t>
  </si>
  <si>
    <t>7:30 AM</t>
  </si>
  <si>
    <t>o35-L13</t>
  </si>
  <si>
    <t>o30-L07</t>
  </si>
  <si>
    <t>7:35 AM</t>
  </si>
  <si>
    <t>o35-L14</t>
  </si>
  <si>
    <t>o35-L15</t>
  </si>
  <si>
    <t>o35-L16</t>
  </si>
  <si>
    <t>o30-L08</t>
  </si>
  <si>
    <t>7:40 AM</t>
  </si>
  <si>
    <t>o30-L09</t>
  </si>
  <si>
    <t>7:45 AM</t>
  </si>
  <si>
    <t>o35-L17</t>
  </si>
  <si>
    <t>o35-L18</t>
  </si>
  <si>
    <t>o35-L19</t>
  </si>
  <si>
    <t>o35-L20</t>
  </si>
  <si>
    <t>o30-L10</t>
  </si>
  <si>
    <t>7:50 AM</t>
  </si>
  <si>
    <t>o30-L11</t>
  </si>
  <si>
    <t>7:55 AM</t>
  </si>
  <si>
    <t>o30-L12</t>
  </si>
  <si>
    <t>8:05 AM</t>
  </si>
  <si>
    <t>Semi 1</t>
  </si>
  <si>
    <t>o35-sf1</t>
  </si>
  <si>
    <t>Semi 2</t>
  </si>
  <si>
    <t>o35-sf2</t>
  </si>
  <si>
    <t>8:15 AM</t>
  </si>
  <si>
    <t>o30-sf1</t>
  </si>
  <si>
    <t>o30-sf2</t>
  </si>
  <si>
    <t>8:30 AM</t>
  </si>
  <si>
    <t>Final (best of 3)</t>
  </si>
  <si>
    <t>o35-final</t>
  </si>
  <si>
    <t>Mixed Doubles</t>
  </si>
  <si>
    <t>Elango &amp; Ramya</t>
  </si>
  <si>
    <t>Alexis &amp; Chris</t>
  </si>
  <si>
    <t>mix-L01</t>
  </si>
  <si>
    <t>8:40 AM</t>
  </si>
  <si>
    <t>o30-final</t>
  </si>
  <si>
    <t>8:55 AM</t>
  </si>
  <si>
    <t>Dwayne &amp; Shari</t>
  </si>
  <si>
    <t>mix-L02</t>
  </si>
  <si>
    <t>9:00 AM</t>
  </si>
  <si>
    <t>Social Doubles</t>
  </si>
  <si>
    <t>Venky &amp; Mohan</t>
  </si>
  <si>
    <t>Vasikaran &amp; Sudarson</t>
  </si>
  <si>
    <t>soc-L01</t>
  </si>
  <si>
    <t>9:05 AM</t>
  </si>
  <si>
    <t>Tim &amp; Martha</t>
  </si>
  <si>
    <t>mix-L03</t>
  </si>
  <si>
    <t>mix-L04</t>
  </si>
  <si>
    <t>Ramya &amp; Priya</t>
  </si>
  <si>
    <t>Vanith &amp; Yashna</t>
  </si>
  <si>
    <t>soc-L02</t>
  </si>
  <si>
    <t>9:15 AM</t>
  </si>
  <si>
    <t>mix-L05</t>
  </si>
  <si>
    <t>mix-L06</t>
  </si>
  <si>
    <t>soc-L03</t>
  </si>
  <si>
    <t>soc-L04</t>
  </si>
  <si>
    <t>9:25 AM</t>
  </si>
  <si>
    <t>mix-L07</t>
  </si>
  <si>
    <t>9:30 AM</t>
  </si>
  <si>
    <t>mix-L08</t>
  </si>
  <si>
    <t>mix-L09</t>
  </si>
  <si>
    <t>soc-L05</t>
  </si>
  <si>
    <t>9:40 AM</t>
  </si>
  <si>
    <t>mix-L10</t>
  </si>
  <si>
    <t>mix-L11</t>
  </si>
  <si>
    <t>mix-L12</t>
  </si>
  <si>
    <t>9:50 AM</t>
  </si>
  <si>
    <t>soc-L06</t>
  </si>
  <si>
    <t>10:00 AM</t>
  </si>
  <si>
    <t>mix-sf1</t>
  </si>
  <si>
    <t>mix-sf2</t>
  </si>
  <si>
    <t>10:25 AM</t>
  </si>
  <si>
    <t>mix-final</t>
  </si>
  <si>
    <t>10:50 AM</t>
  </si>
  <si>
    <t>Open 4.0</t>
  </si>
  <si>
    <t>Vinod &amp; Senthil</t>
  </si>
  <si>
    <t>Tim &amp; Scott</t>
  </si>
  <si>
    <t>o40-L01</t>
  </si>
  <si>
    <t>PJ &amp; Syed</t>
  </si>
  <si>
    <t>o40-L02</t>
  </si>
  <si>
    <t>Rajesh &amp; Uma</t>
  </si>
  <si>
    <t>Dwayne &amp; Tony</t>
  </si>
  <si>
    <t>o40-L03</t>
  </si>
  <si>
    <t>Elango &amp; Arun</t>
  </si>
  <si>
    <t>Gifson &amp; Prabakar</t>
  </si>
  <si>
    <t>o40-L04</t>
  </si>
  <si>
    <t>soc-final</t>
  </si>
  <si>
    <t>11:00 AM</t>
  </si>
  <si>
    <t>o40-L05</t>
  </si>
  <si>
    <t>o40-L06</t>
  </si>
  <si>
    <t>o40-L07</t>
  </si>
  <si>
    <t>o40-L08</t>
  </si>
  <si>
    <t>11:15 AM</t>
  </si>
  <si>
    <t>o40-L09</t>
  </si>
  <si>
    <t>o40-L10</t>
  </si>
  <si>
    <t>o40-L11</t>
  </si>
  <si>
    <t>o40-L12</t>
  </si>
  <si>
    <t>11:25 AM</t>
  </si>
  <si>
    <t>o40-L13</t>
  </si>
  <si>
    <t>o40-L14</t>
  </si>
  <si>
    <t>o40-L15</t>
  </si>
  <si>
    <t>o40-L16</t>
  </si>
  <si>
    <t>11:45 AM</t>
  </si>
  <si>
    <t>o40-sf1</t>
  </si>
  <si>
    <t>o40-sf2</t>
  </si>
  <si>
    <t>12:10 PM</t>
  </si>
  <si>
    <t>o40-final</t>
  </si>
  <si>
    <t>Open 3.0 — standings (updates as you type scores on the Schedule tab)</t>
  </si>
  <si>
    <t>Top 4 go to the semis: 1 v 4 and 2 v 3. Rank: wins, then +/-, then points for.</t>
  </si>
  <si>
    <t>Team</t>
  </si>
  <si>
    <t>Played</t>
  </si>
  <si>
    <t>Won</t>
  </si>
  <si>
    <t>Lost</t>
  </si>
  <si>
    <t>Points for</t>
  </si>
  <si>
    <t>Points against</t>
  </si>
  <si>
    <t>+/-</t>
  </si>
  <si>
    <t>Rank</t>
  </si>
  <si>
    <t>Green rows qualify. Tie on wins, +/- and points for: decide by head-to-head on the Schedule tab.</t>
  </si>
  <si>
    <t>Open 3.5 — standings (updates as you type scores on the Schedule tab)</t>
  </si>
  <si>
    <t>Mixed Doubles — standings (updates as you type scores on the Schedule tab)</t>
  </si>
  <si>
    <t>Open 4.0 — standings (updates as you type scores on the Schedule tab)</t>
  </si>
  <si>
    <t>Social Doubles — standings (updates as you type scores on the Schedule tab)</t>
  </si>
  <si>
    <t>Top 2 play the final. Rank: wins, then +/-, then points for.</t>
  </si>
  <si>
    <t>Offline backup for GTS Pickleball 2026 (Sun Oct 25). The website is the main score system; use this only if it is down.</t>
  </si>
  <si>
    <t>1. Schedule tab: type each game's points in the yellow cells. Winner fills in by itself.</t>
  </si>
  <si>
    <t>2. Division tabs: standings and rank update automatically from the league scores.</t>
  </si>
  <si>
    <t>3. Semis/finals: type the two team names in the yellow Team cells, then the points.</t>
  </si>
  <si>
    <t>4. Finals are best of 3: G1, G2 and (only if 1–1) G3.</t>
  </si>
  <si>
    <t>Rules: League to 11, win by 2, first to 15 wins. Semis to 15, win by 2, first to 21 wins. Finals best of 3 games (each to 11, win by 2, first to 15).</t>
  </si>
  <si>
    <t>Generated from the approved Plan B v4 (same times and courts as the website).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</si>
</sst>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name val="Arial"/>
    </font>
    <font>
      <b/>
      <sz val="11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  <font>
      <sz val="9"/>
      <color rgb="FF8090A0"/>
      <name val="Arial"/>
    </font>
    <font>
      <b/>
      <sz val="13"/>
      <name val="Arial"/>
    </font>
    <font>
      <i/>
      <sz val="9"/>
      <name val="Arial"/>
    </font>
    <font>
      <b/>
      <sz val="11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0B1B33"/>
      </patternFill>
    </fill>
    <fill>
      <patternFill patternType="solid">
        <fgColor rgb="FFFFF7C2"/>
      </patternFill>
    </fill>
    <fill>
      <patternFill patternType="solid">
        <fgColor rgb="FFF3F7DA"/>
      </patternFill>
    </fill>
  </fills>
  <borders count="2">
    <border>
      <left/>
      <right/>
      <top/>
      <bottom/>
      <diagonal/>
    </border>
    <border>
      <left style="thin">
        <color rgb="FFC9D2DE"/>
      </left>
      <right style="thin">
        <color rgb="FFC9D2DE"/>
      </right>
      <top style="thin">
        <color rgb="FFC9D2DE"/>
      </top>
      <bottom style="thin">
        <color rgb="FFC9D2D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/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6">
    <dxf>
      <fill>
        <patternFill patternType="solid">
          <fgColor rgb="FFE6F6EF"/>
        </patternFill>
      </fill>
    </dxf>
    <dxf>
      <fill>
        <patternFill patternType="solid">
          <fgColor rgb="FFE6F6EF"/>
        </patternFill>
      </fill>
    </dxf>
    <dxf>
      <fill>
        <patternFill patternType="solid">
          <fgColor rgb="FFE6F6EF"/>
        </patternFill>
      </fill>
    </dxf>
    <dxf>
      <fill>
        <patternFill patternType="solid">
          <fgColor rgb="FFE6F6EF"/>
        </patternFill>
      </fill>
    </dxf>
    <dxf>
      <fill>
        <patternFill patternType="solid">
          <fgColor rgb="FFE6F6EF"/>
        </patternFill>
      </fill>
    </dxf>
    <dxf>
      <fill>
        <patternFill patternType="solid">
          <fgColor rgb="FFFCA5A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3"/>
  <sheetViews>
    <sheetView tabSelected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7" customWidth="1"/>
    <col min="3" max="3" width="15" customWidth="1"/>
    <col min="4" max="4" width="16" customWidth="1"/>
    <col min="5" max="6" width="32" customWidth="1"/>
    <col min="7" max="12" width="7" customWidth="1"/>
    <col min="13" max="13" width="32" customWidth="1"/>
    <col min="14" max="14" width="11" customWidth="1"/>
  </cols>
  <sheetData>
    <row r="1" spans="1:14" ht="18" x14ac:dyDescent="0.25">
      <c r="A1" s="1" t="s">
        <v>0</v>
      </c>
    </row>
    <row r="2" spans="1:14" x14ac:dyDescent="0.25">
      <c r="A2" s="2" t="s">
        <v>1</v>
      </c>
    </row>
    <row r="4" spans="1:14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4" x14ac:dyDescent="0.25">
      <c r="A5" s="4" t="s">
        <v>16</v>
      </c>
      <c r="B5" s="4">
        <v>1</v>
      </c>
      <c r="C5" s="4" t="s">
        <v>17</v>
      </c>
      <c r="D5" s="4" t="s">
        <v>18</v>
      </c>
      <c r="E5" s="4" t="s">
        <v>19</v>
      </c>
      <c r="F5" s="4" t="s">
        <v>20</v>
      </c>
      <c r="G5" s="5"/>
      <c r="H5" s="5"/>
      <c r="I5" s="6"/>
      <c r="J5" s="6"/>
      <c r="K5" s="6"/>
      <c r="L5" s="6"/>
      <c r="M5" s="7" t="str">
        <f t="shared" ref="M5:M40" si="0">IF(COUNT(G5:H5)&lt;2,"",IF(G5&gt;H5,E5,IF(H5&gt;G5,F5,"")))</f>
        <v/>
      </c>
      <c r="N5" s="8" t="s">
        <v>21</v>
      </c>
    </row>
    <row r="6" spans="1:14" x14ac:dyDescent="0.25">
      <c r="A6" s="4" t="s">
        <v>16</v>
      </c>
      <c r="B6" s="4">
        <v>2</v>
      </c>
      <c r="C6" s="4" t="s">
        <v>17</v>
      </c>
      <c r="D6" s="4" t="s">
        <v>18</v>
      </c>
      <c r="E6" s="4" t="s">
        <v>22</v>
      </c>
      <c r="F6" s="4" t="s">
        <v>23</v>
      </c>
      <c r="G6" s="5"/>
      <c r="H6" s="5"/>
      <c r="I6" s="6"/>
      <c r="J6" s="6"/>
      <c r="K6" s="6"/>
      <c r="L6" s="6"/>
      <c r="M6" s="7" t="str">
        <f t="shared" si="0"/>
        <v/>
      </c>
      <c r="N6" s="8" t="s">
        <v>24</v>
      </c>
    </row>
    <row r="7" spans="1:14" x14ac:dyDescent="0.25">
      <c r="A7" s="4" t="s">
        <v>16</v>
      </c>
      <c r="B7" s="4">
        <v>3</v>
      </c>
      <c r="C7" s="4" t="s">
        <v>17</v>
      </c>
      <c r="D7" s="4" t="s">
        <v>18</v>
      </c>
      <c r="E7" s="4" t="s">
        <v>25</v>
      </c>
      <c r="F7" s="4" t="s">
        <v>26</v>
      </c>
      <c r="G7" s="5"/>
      <c r="H7" s="5"/>
      <c r="I7" s="6"/>
      <c r="J7" s="6"/>
      <c r="K7" s="6"/>
      <c r="L7" s="6"/>
      <c r="M7" s="7" t="str">
        <f t="shared" si="0"/>
        <v/>
      </c>
      <c r="N7" s="8" t="s">
        <v>27</v>
      </c>
    </row>
    <row r="8" spans="1:14" x14ac:dyDescent="0.25">
      <c r="A8" s="4" t="s">
        <v>16</v>
      </c>
      <c r="B8" s="4">
        <v>4</v>
      </c>
      <c r="C8" s="4" t="s">
        <v>17</v>
      </c>
      <c r="D8" s="4" t="s">
        <v>18</v>
      </c>
      <c r="E8" s="4" t="s">
        <v>28</v>
      </c>
      <c r="F8" s="4" t="s">
        <v>29</v>
      </c>
      <c r="G8" s="5"/>
      <c r="H8" s="5"/>
      <c r="I8" s="6"/>
      <c r="J8" s="6"/>
      <c r="K8" s="6"/>
      <c r="L8" s="6"/>
      <c r="M8" s="7" t="str">
        <f t="shared" si="0"/>
        <v/>
      </c>
      <c r="N8" s="8" t="s">
        <v>30</v>
      </c>
    </row>
    <row r="9" spans="1:14" x14ac:dyDescent="0.25">
      <c r="A9" s="4" t="s">
        <v>16</v>
      </c>
      <c r="B9" s="4">
        <v>5</v>
      </c>
      <c r="C9" s="4" t="s">
        <v>31</v>
      </c>
      <c r="D9" s="4" t="s">
        <v>18</v>
      </c>
      <c r="E9" s="4" t="s">
        <v>32</v>
      </c>
      <c r="F9" s="4" t="s">
        <v>33</v>
      </c>
      <c r="G9" s="5"/>
      <c r="H9" s="5"/>
      <c r="I9" s="6"/>
      <c r="J9" s="6"/>
      <c r="K9" s="6"/>
      <c r="L9" s="6"/>
      <c r="M9" s="7" t="str">
        <f t="shared" si="0"/>
        <v/>
      </c>
      <c r="N9" s="8" t="s">
        <v>34</v>
      </c>
    </row>
    <row r="10" spans="1:14" x14ac:dyDescent="0.25">
      <c r="A10" s="4" t="s">
        <v>16</v>
      </c>
      <c r="B10" s="4">
        <v>6</v>
      </c>
      <c r="C10" s="4" t="s">
        <v>31</v>
      </c>
      <c r="D10" s="4" t="s">
        <v>18</v>
      </c>
      <c r="E10" s="4" t="s">
        <v>35</v>
      </c>
      <c r="F10" s="4" t="s">
        <v>36</v>
      </c>
      <c r="G10" s="5"/>
      <c r="H10" s="5"/>
      <c r="I10" s="6"/>
      <c r="J10" s="6"/>
      <c r="K10" s="6"/>
      <c r="L10" s="6"/>
      <c r="M10" s="7" t="str">
        <f t="shared" si="0"/>
        <v/>
      </c>
      <c r="N10" s="8" t="s">
        <v>37</v>
      </c>
    </row>
    <row r="11" spans="1:14" x14ac:dyDescent="0.25">
      <c r="A11" s="4" t="s">
        <v>38</v>
      </c>
      <c r="B11" s="4">
        <v>1</v>
      </c>
      <c r="C11" s="4" t="s">
        <v>17</v>
      </c>
      <c r="D11" s="4" t="s">
        <v>18</v>
      </c>
      <c r="E11" s="4" t="s">
        <v>39</v>
      </c>
      <c r="F11" s="4" t="s">
        <v>40</v>
      </c>
      <c r="G11" s="5"/>
      <c r="H11" s="5"/>
      <c r="I11" s="6"/>
      <c r="J11" s="6"/>
      <c r="K11" s="6"/>
      <c r="L11" s="6"/>
      <c r="M11" s="7" t="str">
        <f t="shared" si="0"/>
        <v/>
      </c>
      <c r="N11" s="8" t="s">
        <v>41</v>
      </c>
    </row>
    <row r="12" spans="1:14" x14ac:dyDescent="0.25">
      <c r="A12" s="4" t="s">
        <v>38</v>
      </c>
      <c r="B12" s="4">
        <v>2</v>
      </c>
      <c r="C12" s="4" t="s">
        <v>17</v>
      </c>
      <c r="D12" s="4" t="s">
        <v>18</v>
      </c>
      <c r="E12" s="4" t="s">
        <v>19</v>
      </c>
      <c r="F12" s="4" t="s">
        <v>23</v>
      </c>
      <c r="G12" s="5"/>
      <c r="H12" s="5"/>
      <c r="I12" s="6"/>
      <c r="J12" s="6"/>
      <c r="K12" s="6"/>
      <c r="L12" s="6"/>
      <c r="M12" s="7" t="str">
        <f t="shared" si="0"/>
        <v/>
      </c>
      <c r="N12" s="8" t="s">
        <v>42</v>
      </c>
    </row>
    <row r="13" spans="1:14" x14ac:dyDescent="0.25">
      <c r="A13" s="4" t="s">
        <v>38</v>
      </c>
      <c r="B13" s="4">
        <v>3</v>
      </c>
      <c r="C13" s="4" t="s">
        <v>17</v>
      </c>
      <c r="D13" s="4" t="s">
        <v>18</v>
      </c>
      <c r="E13" s="4" t="s">
        <v>20</v>
      </c>
      <c r="F13" s="4" t="s">
        <v>26</v>
      </c>
      <c r="G13" s="5"/>
      <c r="H13" s="5"/>
      <c r="I13" s="6"/>
      <c r="J13" s="6"/>
      <c r="K13" s="6"/>
      <c r="L13" s="6"/>
      <c r="M13" s="7" t="str">
        <f t="shared" si="0"/>
        <v/>
      </c>
      <c r="N13" s="8" t="s">
        <v>43</v>
      </c>
    </row>
    <row r="14" spans="1:14" x14ac:dyDescent="0.25">
      <c r="A14" s="4" t="s">
        <v>38</v>
      </c>
      <c r="B14" s="4">
        <v>4</v>
      </c>
      <c r="C14" s="4" t="s">
        <v>17</v>
      </c>
      <c r="D14" s="4" t="s">
        <v>18</v>
      </c>
      <c r="E14" s="4" t="s">
        <v>22</v>
      </c>
      <c r="F14" s="4" t="s">
        <v>29</v>
      </c>
      <c r="G14" s="5"/>
      <c r="H14" s="5"/>
      <c r="I14" s="6"/>
      <c r="J14" s="6"/>
      <c r="K14" s="6"/>
      <c r="L14" s="6"/>
      <c r="M14" s="7" t="str">
        <f t="shared" si="0"/>
        <v/>
      </c>
      <c r="N14" s="8" t="s">
        <v>44</v>
      </c>
    </row>
    <row r="15" spans="1:14" x14ac:dyDescent="0.25">
      <c r="A15" s="4" t="s">
        <v>38</v>
      </c>
      <c r="B15" s="4">
        <v>5</v>
      </c>
      <c r="C15" s="4" t="s">
        <v>31</v>
      </c>
      <c r="D15" s="4" t="s">
        <v>18</v>
      </c>
      <c r="E15" s="4" t="s">
        <v>45</v>
      </c>
      <c r="F15" s="4" t="s">
        <v>46</v>
      </c>
      <c r="G15" s="5"/>
      <c r="H15" s="5"/>
      <c r="I15" s="6"/>
      <c r="J15" s="6"/>
      <c r="K15" s="6"/>
      <c r="L15" s="6"/>
      <c r="M15" s="7" t="str">
        <f t="shared" si="0"/>
        <v/>
      </c>
      <c r="N15" s="8" t="s">
        <v>47</v>
      </c>
    </row>
    <row r="16" spans="1:14" x14ac:dyDescent="0.25">
      <c r="A16" s="4" t="s">
        <v>38</v>
      </c>
      <c r="B16" s="4">
        <v>6</v>
      </c>
      <c r="C16" s="4" t="s">
        <v>31</v>
      </c>
      <c r="D16" s="4" t="s">
        <v>18</v>
      </c>
      <c r="E16" s="4" t="s">
        <v>32</v>
      </c>
      <c r="F16" s="4" t="s">
        <v>36</v>
      </c>
      <c r="G16" s="5"/>
      <c r="H16" s="5"/>
      <c r="I16" s="6"/>
      <c r="J16" s="6"/>
      <c r="K16" s="6"/>
      <c r="L16" s="6"/>
      <c r="M16" s="7" t="str">
        <f t="shared" si="0"/>
        <v/>
      </c>
      <c r="N16" s="8" t="s">
        <v>48</v>
      </c>
    </row>
    <row r="17" spans="1:14" x14ac:dyDescent="0.25">
      <c r="A17" s="4" t="s">
        <v>49</v>
      </c>
      <c r="B17" s="4">
        <v>1</v>
      </c>
      <c r="C17" s="4" t="s">
        <v>17</v>
      </c>
      <c r="D17" s="4" t="s">
        <v>18</v>
      </c>
      <c r="E17" s="4" t="s">
        <v>25</v>
      </c>
      <c r="F17" s="4" t="s">
        <v>40</v>
      </c>
      <c r="G17" s="5"/>
      <c r="H17" s="5"/>
      <c r="I17" s="6"/>
      <c r="J17" s="6"/>
      <c r="K17" s="6"/>
      <c r="L17" s="6"/>
      <c r="M17" s="7" t="str">
        <f t="shared" si="0"/>
        <v/>
      </c>
      <c r="N17" s="8" t="s">
        <v>50</v>
      </c>
    </row>
    <row r="18" spans="1:14" x14ac:dyDescent="0.25">
      <c r="A18" s="4" t="s">
        <v>49</v>
      </c>
      <c r="B18" s="4">
        <v>2</v>
      </c>
      <c r="C18" s="4" t="s">
        <v>17</v>
      </c>
      <c r="D18" s="4" t="s">
        <v>18</v>
      </c>
      <c r="E18" s="4" t="s">
        <v>28</v>
      </c>
      <c r="F18" s="4" t="s">
        <v>39</v>
      </c>
      <c r="G18" s="5"/>
      <c r="H18" s="5"/>
      <c r="I18" s="6"/>
      <c r="J18" s="6"/>
      <c r="K18" s="6"/>
      <c r="L18" s="6"/>
      <c r="M18" s="7" t="str">
        <f t="shared" si="0"/>
        <v/>
      </c>
      <c r="N18" s="8" t="s">
        <v>51</v>
      </c>
    </row>
    <row r="19" spans="1:14" x14ac:dyDescent="0.25">
      <c r="A19" s="4" t="s">
        <v>49</v>
      </c>
      <c r="B19" s="4">
        <v>5</v>
      </c>
      <c r="C19" s="4" t="s">
        <v>31</v>
      </c>
      <c r="D19" s="4" t="s">
        <v>18</v>
      </c>
      <c r="E19" s="4" t="s">
        <v>33</v>
      </c>
      <c r="F19" s="4" t="s">
        <v>46</v>
      </c>
      <c r="G19" s="5"/>
      <c r="H19" s="5"/>
      <c r="I19" s="6"/>
      <c r="J19" s="6"/>
      <c r="K19" s="6"/>
      <c r="L19" s="6"/>
      <c r="M19" s="7" t="str">
        <f t="shared" si="0"/>
        <v/>
      </c>
      <c r="N19" s="8" t="s">
        <v>52</v>
      </c>
    </row>
    <row r="20" spans="1:14" x14ac:dyDescent="0.25">
      <c r="A20" s="4" t="s">
        <v>49</v>
      </c>
      <c r="B20" s="4">
        <v>6</v>
      </c>
      <c r="C20" s="4" t="s">
        <v>31</v>
      </c>
      <c r="D20" s="4" t="s">
        <v>18</v>
      </c>
      <c r="E20" s="4" t="s">
        <v>35</v>
      </c>
      <c r="F20" s="4" t="s">
        <v>45</v>
      </c>
      <c r="G20" s="5"/>
      <c r="H20" s="5"/>
      <c r="I20" s="6"/>
      <c r="J20" s="6"/>
      <c r="K20" s="6"/>
      <c r="L20" s="6"/>
      <c r="M20" s="7" t="str">
        <f t="shared" si="0"/>
        <v/>
      </c>
      <c r="N20" s="8" t="s">
        <v>53</v>
      </c>
    </row>
    <row r="21" spans="1:14" x14ac:dyDescent="0.25">
      <c r="A21" s="4" t="s">
        <v>54</v>
      </c>
      <c r="B21" s="4">
        <v>3</v>
      </c>
      <c r="C21" s="4" t="s">
        <v>17</v>
      </c>
      <c r="D21" s="4" t="s">
        <v>18</v>
      </c>
      <c r="E21" s="4" t="s">
        <v>19</v>
      </c>
      <c r="F21" s="4" t="s">
        <v>26</v>
      </c>
      <c r="G21" s="5"/>
      <c r="H21" s="5"/>
      <c r="I21" s="6"/>
      <c r="J21" s="6"/>
      <c r="K21" s="6"/>
      <c r="L21" s="6"/>
      <c r="M21" s="7" t="str">
        <f t="shared" si="0"/>
        <v/>
      </c>
      <c r="N21" s="8" t="s">
        <v>55</v>
      </c>
    </row>
    <row r="22" spans="1:14" x14ac:dyDescent="0.25">
      <c r="A22" s="4" t="s">
        <v>54</v>
      </c>
      <c r="B22" s="4">
        <v>4</v>
      </c>
      <c r="C22" s="4" t="s">
        <v>17</v>
      </c>
      <c r="D22" s="4" t="s">
        <v>18</v>
      </c>
      <c r="E22" s="4" t="s">
        <v>23</v>
      </c>
      <c r="F22" s="4" t="s">
        <v>29</v>
      </c>
      <c r="G22" s="5"/>
      <c r="H22" s="5"/>
      <c r="I22" s="6"/>
      <c r="J22" s="6"/>
      <c r="K22" s="6"/>
      <c r="L22" s="6"/>
      <c r="M22" s="7" t="str">
        <f t="shared" si="0"/>
        <v/>
      </c>
      <c r="N22" s="8" t="s">
        <v>56</v>
      </c>
    </row>
    <row r="23" spans="1:14" x14ac:dyDescent="0.25">
      <c r="A23" s="4" t="s">
        <v>57</v>
      </c>
      <c r="B23" s="4">
        <v>1</v>
      </c>
      <c r="C23" s="4" t="s">
        <v>17</v>
      </c>
      <c r="D23" s="4" t="s">
        <v>18</v>
      </c>
      <c r="E23" s="4" t="s">
        <v>25</v>
      </c>
      <c r="F23" s="4" t="s">
        <v>28</v>
      </c>
      <c r="G23" s="5"/>
      <c r="H23" s="5"/>
      <c r="I23" s="6"/>
      <c r="J23" s="6"/>
      <c r="K23" s="6"/>
      <c r="L23" s="6"/>
      <c r="M23" s="7" t="str">
        <f t="shared" si="0"/>
        <v/>
      </c>
      <c r="N23" s="8" t="s">
        <v>58</v>
      </c>
    </row>
    <row r="24" spans="1:14" x14ac:dyDescent="0.25">
      <c r="A24" s="4" t="s">
        <v>57</v>
      </c>
      <c r="B24" s="4">
        <v>5</v>
      </c>
      <c r="C24" s="4" t="s">
        <v>31</v>
      </c>
      <c r="D24" s="4" t="s">
        <v>18</v>
      </c>
      <c r="E24" s="4" t="s">
        <v>33</v>
      </c>
      <c r="F24" s="4" t="s">
        <v>35</v>
      </c>
      <c r="G24" s="5"/>
      <c r="H24" s="5"/>
      <c r="I24" s="6"/>
      <c r="J24" s="6"/>
      <c r="K24" s="6"/>
      <c r="L24" s="6"/>
      <c r="M24" s="7" t="str">
        <f t="shared" si="0"/>
        <v/>
      </c>
      <c r="N24" s="8" t="s">
        <v>59</v>
      </c>
    </row>
    <row r="25" spans="1:14" x14ac:dyDescent="0.25">
      <c r="A25" s="4" t="s">
        <v>60</v>
      </c>
      <c r="B25" s="4">
        <v>2</v>
      </c>
      <c r="C25" s="4" t="s">
        <v>17</v>
      </c>
      <c r="D25" s="4" t="s">
        <v>18</v>
      </c>
      <c r="E25" s="4" t="s">
        <v>20</v>
      </c>
      <c r="F25" s="4" t="s">
        <v>40</v>
      </c>
      <c r="G25" s="5"/>
      <c r="H25" s="5"/>
      <c r="I25" s="6"/>
      <c r="J25" s="6"/>
      <c r="K25" s="6"/>
      <c r="L25" s="6"/>
      <c r="M25" s="7" t="str">
        <f t="shared" si="0"/>
        <v/>
      </c>
      <c r="N25" s="8" t="s">
        <v>61</v>
      </c>
    </row>
    <row r="26" spans="1:14" x14ac:dyDescent="0.25">
      <c r="A26" s="4" t="s">
        <v>60</v>
      </c>
      <c r="B26" s="4">
        <v>3</v>
      </c>
      <c r="C26" s="4" t="s">
        <v>17</v>
      </c>
      <c r="D26" s="4" t="s">
        <v>18</v>
      </c>
      <c r="E26" s="4" t="s">
        <v>22</v>
      </c>
      <c r="F26" s="4" t="s">
        <v>39</v>
      </c>
      <c r="G26" s="5"/>
      <c r="H26" s="5"/>
      <c r="I26" s="6"/>
      <c r="J26" s="6"/>
      <c r="K26" s="6"/>
      <c r="L26" s="6"/>
      <c r="M26" s="7" t="str">
        <f t="shared" si="0"/>
        <v/>
      </c>
      <c r="N26" s="8" t="s">
        <v>62</v>
      </c>
    </row>
    <row r="27" spans="1:14" x14ac:dyDescent="0.25">
      <c r="A27" s="4" t="s">
        <v>60</v>
      </c>
      <c r="B27" s="4">
        <v>4</v>
      </c>
      <c r="C27" s="4" t="s">
        <v>17</v>
      </c>
      <c r="D27" s="4" t="s">
        <v>18</v>
      </c>
      <c r="E27" s="4" t="s">
        <v>19</v>
      </c>
      <c r="F27" s="4" t="s">
        <v>29</v>
      </c>
      <c r="G27" s="5"/>
      <c r="H27" s="5"/>
      <c r="I27" s="6"/>
      <c r="J27" s="6"/>
      <c r="K27" s="6"/>
      <c r="L27" s="6"/>
      <c r="M27" s="7" t="str">
        <f t="shared" si="0"/>
        <v/>
      </c>
      <c r="N27" s="8" t="s">
        <v>63</v>
      </c>
    </row>
    <row r="28" spans="1:14" x14ac:dyDescent="0.25">
      <c r="A28" s="4" t="s">
        <v>60</v>
      </c>
      <c r="B28" s="4">
        <v>6</v>
      </c>
      <c r="C28" s="4" t="s">
        <v>31</v>
      </c>
      <c r="D28" s="4" t="s">
        <v>18</v>
      </c>
      <c r="E28" s="4" t="s">
        <v>32</v>
      </c>
      <c r="F28" s="4" t="s">
        <v>46</v>
      </c>
      <c r="G28" s="5"/>
      <c r="H28" s="5"/>
      <c r="I28" s="6"/>
      <c r="J28" s="6"/>
      <c r="K28" s="6"/>
      <c r="L28" s="6"/>
      <c r="M28" s="7" t="str">
        <f t="shared" si="0"/>
        <v/>
      </c>
      <c r="N28" s="8" t="s">
        <v>64</v>
      </c>
    </row>
    <row r="29" spans="1:14" x14ac:dyDescent="0.25">
      <c r="A29" s="4" t="s">
        <v>65</v>
      </c>
      <c r="B29" s="4">
        <v>5</v>
      </c>
      <c r="C29" s="4" t="s">
        <v>31</v>
      </c>
      <c r="D29" s="4" t="s">
        <v>18</v>
      </c>
      <c r="E29" s="4" t="s">
        <v>36</v>
      </c>
      <c r="F29" s="4" t="s">
        <v>45</v>
      </c>
      <c r="G29" s="5"/>
      <c r="H29" s="5"/>
      <c r="I29" s="6"/>
      <c r="J29" s="6"/>
      <c r="K29" s="6"/>
      <c r="L29" s="6"/>
      <c r="M29" s="7" t="str">
        <f t="shared" si="0"/>
        <v/>
      </c>
      <c r="N29" s="8" t="s">
        <v>66</v>
      </c>
    </row>
    <row r="30" spans="1:14" x14ac:dyDescent="0.25">
      <c r="A30" s="4" t="s">
        <v>67</v>
      </c>
      <c r="B30" s="4">
        <v>1</v>
      </c>
      <c r="C30" s="4" t="s">
        <v>17</v>
      </c>
      <c r="D30" s="4" t="s">
        <v>18</v>
      </c>
      <c r="E30" s="4" t="s">
        <v>26</v>
      </c>
      <c r="F30" s="4" t="s">
        <v>40</v>
      </c>
      <c r="G30" s="5"/>
      <c r="H30" s="5"/>
      <c r="I30" s="6"/>
      <c r="J30" s="6"/>
      <c r="K30" s="6"/>
      <c r="L30" s="6"/>
      <c r="M30" s="7" t="str">
        <f t="shared" si="0"/>
        <v/>
      </c>
      <c r="N30" s="8" t="s">
        <v>68</v>
      </c>
    </row>
    <row r="31" spans="1:14" x14ac:dyDescent="0.25">
      <c r="A31" s="4" t="s">
        <v>67</v>
      </c>
      <c r="B31" s="4">
        <v>2</v>
      </c>
      <c r="C31" s="4" t="s">
        <v>17</v>
      </c>
      <c r="D31" s="4" t="s">
        <v>18</v>
      </c>
      <c r="E31" s="4" t="s">
        <v>23</v>
      </c>
      <c r="F31" s="4" t="s">
        <v>39</v>
      </c>
      <c r="G31" s="5"/>
      <c r="H31" s="5"/>
      <c r="I31" s="6"/>
      <c r="J31" s="6"/>
      <c r="K31" s="6"/>
      <c r="L31" s="6"/>
      <c r="M31" s="7" t="str">
        <f t="shared" si="0"/>
        <v/>
      </c>
      <c r="N31" s="8" t="s">
        <v>69</v>
      </c>
    </row>
    <row r="32" spans="1:14" x14ac:dyDescent="0.25">
      <c r="A32" s="4" t="s">
        <v>67</v>
      </c>
      <c r="B32" s="4">
        <v>3</v>
      </c>
      <c r="C32" s="4" t="s">
        <v>17</v>
      </c>
      <c r="D32" s="4" t="s">
        <v>18</v>
      </c>
      <c r="E32" s="4" t="s">
        <v>20</v>
      </c>
      <c r="F32" s="4" t="s">
        <v>28</v>
      </c>
      <c r="G32" s="5"/>
      <c r="H32" s="5"/>
      <c r="I32" s="6"/>
      <c r="J32" s="6"/>
      <c r="K32" s="6"/>
      <c r="L32" s="6"/>
      <c r="M32" s="7" t="str">
        <f t="shared" si="0"/>
        <v/>
      </c>
      <c r="N32" s="8" t="s">
        <v>70</v>
      </c>
    </row>
    <row r="33" spans="1:14" x14ac:dyDescent="0.25">
      <c r="A33" s="4" t="s">
        <v>67</v>
      </c>
      <c r="B33" s="4">
        <v>4</v>
      </c>
      <c r="C33" s="4" t="s">
        <v>17</v>
      </c>
      <c r="D33" s="4" t="s">
        <v>18</v>
      </c>
      <c r="E33" s="4" t="s">
        <v>22</v>
      </c>
      <c r="F33" s="4" t="s">
        <v>25</v>
      </c>
      <c r="G33" s="5"/>
      <c r="H33" s="5"/>
      <c r="I33" s="6"/>
      <c r="J33" s="6"/>
      <c r="K33" s="6"/>
      <c r="L33" s="6"/>
      <c r="M33" s="7" t="str">
        <f t="shared" si="0"/>
        <v/>
      </c>
      <c r="N33" s="8" t="s">
        <v>71</v>
      </c>
    </row>
    <row r="34" spans="1:14" x14ac:dyDescent="0.25">
      <c r="A34" s="4" t="s">
        <v>67</v>
      </c>
      <c r="B34" s="4">
        <v>6</v>
      </c>
      <c r="C34" s="4" t="s">
        <v>31</v>
      </c>
      <c r="D34" s="4" t="s">
        <v>18</v>
      </c>
      <c r="E34" s="4" t="s">
        <v>46</v>
      </c>
      <c r="F34" s="4" t="s">
        <v>35</v>
      </c>
      <c r="G34" s="5"/>
      <c r="H34" s="5"/>
      <c r="I34" s="6"/>
      <c r="J34" s="6"/>
      <c r="K34" s="6"/>
      <c r="L34" s="6"/>
      <c r="M34" s="7" t="str">
        <f t="shared" si="0"/>
        <v/>
      </c>
      <c r="N34" s="8" t="s">
        <v>72</v>
      </c>
    </row>
    <row r="35" spans="1:14" x14ac:dyDescent="0.25">
      <c r="A35" s="4" t="s">
        <v>73</v>
      </c>
      <c r="B35" s="4">
        <v>5</v>
      </c>
      <c r="C35" s="4" t="s">
        <v>31</v>
      </c>
      <c r="D35" s="4" t="s">
        <v>18</v>
      </c>
      <c r="E35" s="4" t="s">
        <v>32</v>
      </c>
      <c r="F35" s="4" t="s">
        <v>45</v>
      </c>
      <c r="G35" s="5"/>
      <c r="H35" s="5"/>
      <c r="I35" s="6"/>
      <c r="J35" s="6"/>
      <c r="K35" s="6"/>
      <c r="L35" s="6"/>
      <c r="M35" s="7" t="str">
        <f t="shared" si="0"/>
        <v/>
      </c>
      <c r="N35" s="8" t="s">
        <v>74</v>
      </c>
    </row>
    <row r="36" spans="1:14" x14ac:dyDescent="0.25">
      <c r="A36" s="4" t="s">
        <v>75</v>
      </c>
      <c r="B36" s="4">
        <v>6</v>
      </c>
      <c r="C36" s="4" t="s">
        <v>31</v>
      </c>
      <c r="D36" s="4" t="s">
        <v>18</v>
      </c>
      <c r="E36" s="4" t="s">
        <v>36</v>
      </c>
      <c r="F36" s="4" t="s">
        <v>33</v>
      </c>
      <c r="G36" s="5"/>
      <c r="H36" s="5"/>
      <c r="I36" s="6"/>
      <c r="J36" s="6"/>
      <c r="K36" s="6"/>
      <c r="L36" s="6"/>
      <c r="M36" s="7" t="str">
        <f t="shared" si="0"/>
        <v/>
      </c>
      <c r="N36" s="8" t="s">
        <v>76</v>
      </c>
    </row>
    <row r="37" spans="1:14" x14ac:dyDescent="0.25">
      <c r="A37" s="9" t="s">
        <v>77</v>
      </c>
      <c r="B37" s="9">
        <v>1</v>
      </c>
      <c r="C37" s="9" t="s">
        <v>17</v>
      </c>
      <c r="D37" s="9" t="s">
        <v>78</v>
      </c>
      <c r="E37" s="10"/>
      <c r="F37" s="10"/>
      <c r="G37" s="5"/>
      <c r="H37" s="5"/>
      <c r="I37" s="6"/>
      <c r="J37" s="6"/>
      <c r="K37" s="6"/>
      <c r="L37" s="6"/>
      <c r="M37" s="7" t="str">
        <f t="shared" si="0"/>
        <v/>
      </c>
      <c r="N37" s="8" t="s">
        <v>79</v>
      </c>
    </row>
    <row r="38" spans="1:14" x14ac:dyDescent="0.25">
      <c r="A38" s="9" t="s">
        <v>77</v>
      </c>
      <c r="B38" s="9">
        <v>2</v>
      </c>
      <c r="C38" s="9" t="s">
        <v>17</v>
      </c>
      <c r="D38" s="9" t="s">
        <v>80</v>
      </c>
      <c r="E38" s="10"/>
      <c r="F38" s="10"/>
      <c r="G38" s="5"/>
      <c r="H38" s="5"/>
      <c r="I38" s="6"/>
      <c r="J38" s="6"/>
      <c r="K38" s="6"/>
      <c r="L38" s="6"/>
      <c r="M38" s="7" t="str">
        <f t="shared" si="0"/>
        <v/>
      </c>
      <c r="N38" s="8" t="s">
        <v>81</v>
      </c>
    </row>
    <row r="39" spans="1:14" x14ac:dyDescent="0.25">
      <c r="A39" s="9" t="s">
        <v>82</v>
      </c>
      <c r="B39" s="9">
        <v>5</v>
      </c>
      <c r="C39" s="9" t="s">
        <v>31</v>
      </c>
      <c r="D39" s="9" t="s">
        <v>78</v>
      </c>
      <c r="E39" s="10"/>
      <c r="F39" s="10"/>
      <c r="G39" s="5"/>
      <c r="H39" s="5"/>
      <c r="I39" s="6"/>
      <c r="J39" s="6"/>
      <c r="K39" s="6"/>
      <c r="L39" s="6"/>
      <c r="M39" s="7" t="str">
        <f t="shared" si="0"/>
        <v/>
      </c>
      <c r="N39" s="8" t="s">
        <v>83</v>
      </c>
    </row>
    <row r="40" spans="1:14" x14ac:dyDescent="0.25">
      <c r="A40" s="9" t="s">
        <v>82</v>
      </c>
      <c r="B40" s="9">
        <v>6</v>
      </c>
      <c r="C40" s="9" t="s">
        <v>31</v>
      </c>
      <c r="D40" s="9" t="s">
        <v>80</v>
      </c>
      <c r="E40" s="10"/>
      <c r="F40" s="10"/>
      <c r="G40" s="5"/>
      <c r="H40" s="5"/>
      <c r="I40" s="6"/>
      <c r="J40" s="6"/>
      <c r="K40" s="6"/>
      <c r="L40" s="6"/>
      <c r="M40" s="7" t="str">
        <f t="shared" si="0"/>
        <v/>
      </c>
      <c r="N40" s="8" t="s">
        <v>84</v>
      </c>
    </row>
    <row r="41" spans="1:14" x14ac:dyDescent="0.25">
      <c r="A41" s="9" t="s">
        <v>85</v>
      </c>
      <c r="B41" s="9">
        <v>1</v>
      </c>
      <c r="C41" s="9" t="s">
        <v>17</v>
      </c>
      <c r="D41" s="9" t="s">
        <v>86</v>
      </c>
      <c r="E41" s="10"/>
      <c r="F41" s="10"/>
      <c r="G41" s="5"/>
      <c r="H41" s="5"/>
      <c r="I41" s="5"/>
      <c r="J41" s="5"/>
      <c r="K41" s="5"/>
      <c r="L41" s="5"/>
      <c r="M41" s="7" t="str">
        <f>IF(COUNT(G41:L41)&lt;4,"",IF((G41&gt;H41)+(I41&gt;J41)+(K41&gt;L41)&gt;=2,E41,IF((H41&gt;G41)+(J41&gt;I41)+(L41&gt;K41)&gt;=2,F41,"")))</f>
        <v/>
      </c>
      <c r="N41" s="8" t="s">
        <v>87</v>
      </c>
    </row>
    <row r="42" spans="1:14" x14ac:dyDescent="0.25">
      <c r="A42" s="4" t="s">
        <v>85</v>
      </c>
      <c r="B42" s="4">
        <v>2</v>
      </c>
      <c r="C42" s="4" t="s">
        <v>88</v>
      </c>
      <c r="D42" s="4" t="s">
        <v>18</v>
      </c>
      <c r="E42" s="4" t="s">
        <v>89</v>
      </c>
      <c r="F42" s="4" t="s">
        <v>90</v>
      </c>
      <c r="G42" s="5"/>
      <c r="H42" s="5"/>
      <c r="I42" s="6"/>
      <c r="J42" s="6"/>
      <c r="K42" s="6"/>
      <c r="L42" s="6"/>
      <c r="M42" s="7" t="str">
        <f>IF(COUNT(G42:H42)&lt;2,"",IF(G42&gt;H42,E42,IF(H42&gt;G42,F42,"")))</f>
        <v/>
      </c>
      <c r="N42" s="8" t="s">
        <v>91</v>
      </c>
    </row>
    <row r="43" spans="1:14" x14ac:dyDescent="0.25">
      <c r="A43" s="9" t="s">
        <v>92</v>
      </c>
      <c r="B43" s="9">
        <v>5</v>
      </c>
      <c r="C43" s="9" t="s">
        <v>31</v>
      </c>
      <c r="D43" s="9" t="s">
        <v>86</v>
      </c>
      <c r="E43" s="10"/>
      <c r="F43" s="10"/>
      <c r="G43" s="5"/>
      <c r="H43" s="5"/>
      <c r="I43" s="5"/>
      <c r="J43" s="5"/>
      <c r="K43" s="5"/>
      <c r="L43" s="5"/>
      <c r="M43" s="7" t="str">
        <f>IF(COUNT(G43:L43)&lt;4,"",IF((G43&gt;H43)+(I43&gt;J43)+(K43&gt;L43)&gt;=2,E43,IF((H43&gt;G43)+(J43&gt;I43)+(L43&gt;K43)&gt;=2,F43,"")))</f>
        <v/>
      </c>
      <c r="N43" s="8" t="s">
        <v>93</v>
      </c>
    </row>
    <row r="44" spans="1:14" x14ac:dyDescent="0.25">
      <c r="A44" s="4" t="s">
        <v>94</v>
      </c>
      <c r="B44" s="4">
        <v>1</v>
      </c>
      <c r="C44" s="4" t="s">
        <v>88</v>
      </c>
      <c r="D44" s="4" t="s">
        <v>18</v>
      </c>
      <c r="E44" s="4" t="s">
        <v>89</v>
      </c>
      <c r="F44" s="4" t="s">
        <v>95</v>
      </c>
      <c r="G44" s="5"/>
      <c r="H44" s="5"/>
      <c r="I44" s="6"/>
      <c r="J44" s="6"/>
      <c r="K44" s="6"/>
      <c r="L44" s="6"/>
      <c r="M44" s="7" t="str">
        <f t="shared" ref="M44:M62" si="1">IF(COUNT(G44:H44)&lt;2,"",IF(G44&gt;H44,E44,IF(H44&gt;G44,F44,"")))</f>
        <v/>
      </c>
      <c r="N44" s="8" t="s">
        <v>96</v>
      </c>
    </row>
    <row r="45" spans="1:14" x14ac:dyDescent="0.25">
      <c r="A45" s="4" t="s">
        <v>97</v>
      </c>
      <c r="B45" s="4">
        <v>6</v>
      </c>
      <c r="C45" s="4" t="s">
        <v>98</v>
      </c>
      <c r="D45" s="4" t="s">
        <v>18</v>
      </c>
      <c r="E45" s="4" t="s">
        <v>99</v>
      </c>
      <c r="F45" s="4" t="s">
        <v>100</v>
      </c>
      <c r="G45" s="5"/>
      <c r="H45" s="5"/>
      <c r="I45" s="6"/>
      <c r="J45" s="6"/>
      <c r="K45" s="6"/>
      <c r="L45" s="6"/>
      <c r="M45" s="7" t="str">
        <f t="shared" si="1"/>
        <v/>
      </c>
      <c r="N45" s="8" t="s">
        <v>101</v>
      </c>
    </row>
    <row r="46" spans="1:14" x14ac:dyDescent="0.25">
      <c r="A46" s="4" t="s">
        <v>102</v>
      </c>
      <c r="B46" s="4">
        <v>1</v>
      </c>
      <c r="C46" s="4" t="s">
        <v>88</v>
      </c>
      <c r="D46" s="4" t="s">
        <v>18</v>
      </c>
      <c r="E46" s="4" t="s">
        <v>33</v>
      </c>
      <c r="F46" s="4" t="s">
        <v>103</v>
      </c>
      <c r="G46" s="5"/>
      <c r="H46" s="5"/>
      <c r="I46" s="6"/>
      <c r="J46" s="6"/>
      <c r="K46" s="6"/>
      <c r="L46" s="6"/>
      <c r="M46" s="7" t="str">
        <f t="shared" si="1"/>
        <v/>
      </c>
      <c r="N46" s="8" t="s">
        <v>104</v>
      </c>
    </row>
    <row r="47" spans="1:14" x14ac:dyDescent="0.25">
      <c r="A47" s="4" t="s">
        <v>102</v>
      </c>
      <c r="B47" s="4">
        <v>2</v>
      </c>
      <c r="C47" s="4" t="s">
        <v>88</v>
      </c>
      <c r="D47" s="4" t="s">
        <v>18</v>
      </c>
      <c r="E47" s="4" t="s">
        <v>95</v>
      </c>
      <c r="F47" s="4" t="s">
        <v>36</v>
      </c>
      <c r="G47" s="5"/>
      <c r="H47" s="5"/>
      <c r="I47" s="6"/>
      <c r="J47" s="6"/>
      <c r="K47" s="6"/>
      <c r="L47" s="6"/>
      <c r="M47" s="7" t="str">
        <f t="shared" si="1"/>
        <v/>
      </c>
      <c r="N47" s="8" t="s">
        <v>105</v>
      </c>
    </row>
    <row r="48" spans="1:14" x14ac:dyDescent="0.25">
      <c r="A48" s="4" t="s">
        <v>102</v>
      </c>
      <c r="B48" s="4">
        <v>5</v>
      </c>
      <c r="C48" s="4" t="s">
        <v>98</v>
      </c>
      <c r="D48" s="4" t="s">
        <v>18</v>
      </c>
      <c r="E48" s="4" t="s">
        <v>106</v>
      </c>
      <c r="F48" s="4" t="s">
        <v>107</v>
      </c>
      <c r="G48" s="5"/>
      <c r="H48" s="5"/>
      <c r="I48" s="6"/>
      <c r="J48" s="6"/>
      <c r="K48" s="6"/>
      <c r="L48" s="6"/>
      <c r="M48" s="7" t="str">
        <f t="shared" si="1"/>
        <v/>
      </c>
      <c r="N48" s="8" t="s">
        <v>108</v>
      </c>
    </row>
    <row r="49" spans="1:14" x14ac:dyDescent="0.25">
      <c r="A49" s="4" t="s">
        <v>109</v>
      </c>
      <c r="B49" s="4">
        <v>1</v>
      </c>
      <c r="C49" s="4" t="s">
        <v>88</v>
      </c>
      <c r="D49" s="4" t="s">
        <v>18</v>
      </c>
      <c r="E49" s="4" t="s">
        <v>33</v>
      </c>
      <c r="F49" s="4" t="s">
        <v>90</v>
      </c>
      <c r="G49" s="5"/>
      <c r="H49" s="5"/>
      <c r="I49" s="6"/>
      <c r="J49" s="6"/>
      <c r="K49" s="6"/>
      <c r="L49" s="6"/>
      <c r="M49" s="7" t="str">
        <f t="shared" si="1"/>
        <v/>
      </c>
      <c r="N49" s="8" t="s">
        <v>110</v>
      </c>
    </row>
    <row r="50" spans="1:14" x14ac:dyDescent="0.25">
      <c r="A50" s="4" t="s">
        <v>109</v>
      </c>
      <c r="B50" s="4">
        <v>2</v>
      </c>
      <c r="C50" s="4" t="s">
        <v>88</v>
      </c>
      <c r="D50" s="4" t="s">
        <v>18</v>
      </c>
      <c r="E50" s="4" t="s">
        <v>103</v>
      </c>
      <c r="F50" s="4" t="s">
        <v>36</v>
      </c>
      <c r="G50" s="5"/>
      <c r="H50" s="5"/>
      <c r="I50" s="6"/>
      <c r="J50" s="6"/>
      <c r="K50" s="6"/>
      <c r="L50" s="6"/>
      <c r="M50" s="7" t="str">
        <f t="shared" si="1"/>
        <v/>
      </c>
      <c r="N50" s="8" t="s">
        <v>111</v>
      </c>
    </row>
    <row r="51" spans="1:14" x14ac:dyDescent="0.25">
      <c r="A51" s="4" t="s">
        <v>109</v>
      </c>
      <c r="B51" s="4">
        <v>5</v>
      </c>
      <c r="C51" s="4" t="s">
        <v>98</v>
      </c>
      <c r="D51" s="4" t="s">
        <v>18</v>
      </c>
      <c r="E51" s="4" t="s">
        <v>106</v>
      </c>
      <c r="F51" s="4" t="s">
        <v>100</v>
      </c>
      <c r="G51" s="5"/>
      <c r="H51" s="5"/>
      <c r="I51" s="6"/>
      <c r="J51" s="6"/>
      <c r="K51" s="6"/>
      <c r="L51" s="6"/>
      <c r="M51" s="7" t="str">
        <f t="shared" si="1"/>
        <v/>
      </c>
      <c r="N51" s="8" t="s">
        <v>112</v>
      </c>
    </row>
    <row r="52" spans="1:14" x14ac:dyDescent="0.25">
      <c r="A52" s="4" t="s">
        <v>109</v>
      </c>
      <c r="B52" s="4">
        <v>6</v>
      </c>
      <c r="C52" s="4" t="s">
        <v>98</v>
      </c>
      <c r="D52" s="4" t="s">
        <v>18</v>
      </c>
      <c r="E52" s="4" t="s">
        <v>107</v>
      </c>
      <c r="F52" s="4" t="s">
        <v>99</v>
      </c>
      <c r="G52" s="5"/>
      <c r="H52" s="5"/>
      <c r="I52" s="6"/>
      <c r="J52" s="6"/>
      <c r="K52" s="6"/>
      <c r="L52" s="6"/>
      <c r="M52" s="7" t="str">
        <f t="shared" si="1"/>
        <v/>
      </c>
      <c r="N52" s="8" t="s">
        <v>113</v>
      </c>
    </row>
    <row r="53" spans="1:14" x14ac:dyDescent="0.25">
      <c r="A53" s="4" t="s">
        <v>114</v>
      </c>
      <c r="B53" s="4">
        <v>1</v>
      </c>
      <c r="C53" s="4" t="s">
        <v>88</v>
      </c>
      <c r="D53" s="4" t="s">
        <v>18</v>
      </c>
      <c r="E53" s="4" t="s">
        <v>90</v>
      </c>
      <c r="F53" s="4" t="s">
        <v>95</v>
      </c>
      <c r="G53" s="5"/>
      <c r="H53" s="5"/>
      <c r="I53" s="6"/>
      <c r="J53" s="6"/>
      <c r="K53" s="6"/>
      <c r="L53" s="6"/>
      <c r="M53" s="7" t="str">
        <f t="shared" si="1"/>
        <v/>
      </c>
      <c r="N53" s="8" t="s">
        <v>115</v>
      </c>
    </row>
    <row r="54" spans="1:14" x14ac:dyDescent="0.25">
      <c r="A54" s="4" t="s">
        <v>116</v>
      </c>
      <c r="B54" s="4">
        <v>2</v>
      </c>
      <c r="C54" s="4" t="s">
        <v>88</v>
      </c>
      <c r="D54" s="4" t="s">
        <v>18</v>
      </c>
      <c r="E54" s="4" t="s">
        <v>33</v>
      </c>
      <c r="F54" s="4" t="s">
        <v>36</v>
      </c>
      <c r="G54" s="5"/>
      <c r="H54" s="5"/>
      <c r="I54" s="6"/>
      <c r="J54" s="6"/>
      <c r="K54" s="6"/>
      <c r="L54" s="6"/>
      <c r="M54" s="7" t="str">
        <f t="shared" si="1"/>
        <v/>
      </c>
      <c r="N54" s="8" t="s">
        <v>117</v>
      </c>
    </row>
    <row r="55" spans="1:14" x14ac:dyDescent="0.25">
      <c r="A55" s="4" t="s">
        <v>116</v>
      </c>
      <c r="B55" s="4">
        <v>3</v>
      </c>
      <c r="C55" s="4" t="s">
        <v>88</v>
      </c>
      <c r="D55" s="4" t="s">
        <v>18</v>
      </c>
      <c r="E55" s="4" t="s">
        <v>103</v>
      </c>
      <c r="F55" s="4" t="s">
        <v>89</v>
      </c>
      <c r="G55" s="5"/>
      <c r="H55" s="5"/>
      <c r="I55" s="6"/>
      <c r="J55" s="6"/>
      <c r="K55" s="6"/>
      <c r="L55" s="6"/>
      <c r="M55" s="7" t="str">
        <f t="shared" si="1"/>
        <v/>
      </c>
      <c r="N55" s="8" t="s">
        <v>118</v>
      </c>
    </row>
    <row r="56" spans="1:14" x14ac:dyDescent="0.25">
      <c r="A56" s="4" t="s">
        <v>116</v>
      </c>
      <c r="B56" s="4">
        <v>5</v>
      </c>
      <c r="C56" s="4" t="s">
        <v>98</v>
      </c>
      <c r="D56" s="4" t="s">
        <v>18</v>
      </c>
      <c r="E56" s="4" t="s">
        <v>100</v>
      </c>
      <c r="F56" s="4" t="s">
        <v>107</v>
      </c>
      <c r="G56" s="5"/>
      <c r="H56" s="5"/>
      <c r="I56" s="6"/>
      <c r="J56" s="6"/>
      <c r="K56" s="6"/>
      <c r="L56" s="6"/>
      <c r="M56" s="7" t="str">
        <f t="shared" si="1"/>
        <v/>
      </c>
      <c r="N56" s="8" t="s">
        <v>119</v>
      </c>
    </row>
    <row r="57" spans="1:14" x14ac:dyDescent="0.25">
      <c r="A57" s="4" t="s">
        <v>120</v>
      </c>
      <c r="B57" s="4">
        <v>1</v>
      </c>
      <c r="C57" s="4" t="s">
        <v>88</v>
      </c>
      <c r="D57" s="4" t="s">
        <v>18</v>
      </c>
      <c r="E57" s="4" t="s">
        <v>33</v>
      </c>
      <c r="F57" s="4" t="s">
        <v>95</v>
      </c>
      <c r="G57" s="5"/>
      <c r="H57" s="5"/>
      <c r="I57" s="6"/>
      <c r="J57" s="6"/>
      <c r="K57" s="6"/>
      <c r="L57" s="6"/>
      <c r="M57" s="7" t="str">
        <f t="shared" si="1"/>
        <v/>
      </c>
      <c r="N57" s="8" t="s">
        <v>121</v>
      </c>
    </row>
    <row r="58" spans="1:14" x14ac:dyDescent="0.25">
      <c r="A58" s="4" t="s">
        <v>120</v>
      </c>
      <c r="B58" s="4">
        <v>2</v>
      </c>
      <c r="C58" s="4" t="s">
        <v>88</v>
      </c>
      <c r="D58" s="4" t="s">
        <v>18</v>
      </c>
      <c r="E58" s="4" t="s">
        <v>36</v>
      </c>
      <c r="F58" s="4" t="s">
        <v>89</v>
      </c>
      <c r="G58" s="5"/>
      <c r="H58" s="5"/>
      <c r="I58" s="6"/>
      <c r="J58" s="6"/>
      <c r="K58" s="6"/>
      <c r="L58" s="6"/>
      <c r="M58" s="7" t="str">
        <f t="shared" si="1"/>
        <v/>
      </c>
      <c r="N58" s="8" t="s">
        <v>122</v>
      </c>
    </row>
    <row r="59" spans="1:14" x14ac:dyDescent="0.25">
      <c r="A59" s="4" t="s">
        <v>120</v>
      </c>
      <c r="B59" s="4">
        <v>3</v>
      </c>
      <c r="C59" s="4" t="s">
        <v>88</v>
      </c>
      <c r="D59" s="4" t="s">
        <v>18</v>
      </c>
      <c r="E59" s="4" t="s">
        <v>90</v>
      </c>
      <c r="F59" s="4" t="s">
        <v>103</v>
      </c>
      <c r="G59" s="5"/>
      <c r="H59" s="5"/>
      <c r="I59" s="6"/>
      <c r="J59" s="6"/>
      <c r="K59" s="6"/>
      <c r="L59" s="6"/>
      <c r="M59" s="7" t="str">
        <f t="shared" si="1"/>
        <v/>
      </c>
      <c r="N59" s="8" t="s">
        <v>123</v>
      </c>
    </row>
    <row r="60" spans="1:14" x14ac:dyDescent="0.25">
      <c r="A60" s="4" t="s">
        <v>124</v>
      </c>
      <c r="B60" s="4">
        <v>5</v>
      </c>
      <c r="C60" s="4" t="s">
        <v>98</v>
      </c>
      <c r="D60" s="4" t="s">
        <v>18</v>
      </c>
      <c r="E60" s="4" t="s">
        <v>106</v>
      </c>
      <c r="F60" s="4" t="s">
        <v>99</v>
      </c>
      <c r="G60" s="5"/>
      <c r="H60" s="5"/>
      <c r="I60" s="6"/>
      <c r="J60" s="6"/>
      <c r="K60" s="6"/>
      <c r="L60" s="6"/>
      <c r="M60" s="7" t="str">
        <f t="shared" si="1"/>
        <v/>
      </c>
      <c r="N60" s="8" t="s">
        <v>125</v>
      </c>
    </row>
    <row r="61" spans="1:14" x14ac:dyDescent="0.25">
      <c r="A61" s="9" t="s">
        <v>126</v>
      </c>
      <c r="B61" s="9">
        <v>1</v>
      </c>
      <c r="C61" s="9" t="s">
        <v>88</v>
      </c>
      <c r="D61" s="9" t="s">
        <v>78</v>
      </c>
      <c r="E61" s="10"/>
      <c r="F61" s="10"/>
      <c r="G61" s="5"/>
      <c r="H61" s="5"/>
      <c r="I61" s="6"/>
      <c r="J61" s="6"/>
      <c r="K61" s="6"/>
      <c r="L61" s="6"/>
      <c r="M61" s="7" t="str">
        <f t="shared" si="1"/>
        <v/>
      </c>
      <c r="N61" s="8" t="s">
        <v>127</v>
      </c>
    </row>
    <row r="62" spans="1:14" x14ac:dyDescent="0.25">
      <c r="A62" s="9" t="s">
        <v>126</v>
      </c>
      <c r="B62" s="9">
        <v>2</v>
      </c>
      <c r="C62" s="9" t="s">
        <v>88</v>
      </c>
      <c r="D62" s="9" t="s">
        <v>80</v>
      </c>
      <c r="E62" s="10"/>
      <c r="F62" s="10"/>
      <c r="G62" s="5"/>
      <c r="H62" s="5"/>
      <c r="I62" s="6"/>
      <c r="J62" s="6"/>
      <c r="K62" s="6"/>
      <c r="L62" s="6"/>
      <c r="M62" s="7" t="str">
        <f t="shared" si="1"/>
        <v/>
      </c>
      <c r="N62" s="8" t="s">
        <v>128</v>
      </c>
    </row>
    <row r="63" spans="1:14" x14ac:dyDescent="0.25">
      <c r="A63" s="9" t="s">
        <v>129</v>
      </c>
      <c r="B63" s="9">
        <v>1</v>
      </c>
      <c r="C63" s="9" t="s">
        <v>88</v>
      </c>
      <c r="D63" s="9" t="s">
        <v>86</v>
      </c>
      <c r="E63" s="10"/>
      <c r="F63" s="10"/>
      <c r="G63" s="5"/>
      <c r="H63" s="5"/>
      <c r="I63" s="5"/>
      <c r="J63" s="5"/>
      <c r="K63" s="5"/>
      <c r="L63" s="5"/>
      <c r="M63" s="7" t="str">
        <f>IF(COUNT(G63:L63)&lt;4,"",IF((G63&gt;H63)+(I63&gt;J63)+(K63&gt;L63)&gt;=2,E63,IF((H63&gt;G63)+(J63&gt;I63)+(L63&gt;K63)&gt;=2,F63,"")))</f>
        <v/>
      </c>
      <c r="N63" s="8" t="s">
        <v>130</v>
      </c>
    </row>
    <row r="64" spans="1:14" x14ac:dyDescent="0.25">
      <c r="A64" s="4" t="s">
        <v>131</v>
      </c>
      <c r="B64" s="4">
        <v>1</v>
      </c>
      <c r="C64" s="4" t="s">
        <v>132</v>
      </c>
      <c r="D64" s="4" t="s">
        <v>18</v>
      </c>
      <c r="E64" s="4" t="s">
        <v>133</v>
      </c>
      <c r="F64" s="4" t="s">
        <v>134</v>
      </c>
      <c r="G64" s="5"/>
      <c r="H64" s="5"/>
      <c r="I64" s="6"/>
      <c r="J64" s="6"/>
      <c r="K64" s="6"/>
      <c r="L64" s="6"/>
      <c r="M64" s="7" t="str">
        <f>IF(COUNT(G64:H64)&lt;2,"",IF(G64&gt;H64,E64,IF(H64&gt;G64,F64,"")))</f>
        <v/>
      </c>
      <c r="N64" s="8" t="s">
        <v>135</v>
      </c>
    </row>
    <row r="65" spans="1:14" x14ac:dyDescent="0.25">
      <c r="A65" s="4" t="s">
        <v>131</v>
      </c>
      <c r="B65" s="4">
        <v>2</v>
      </c>
      <c r="C65" s="4" t="s">
        <v>132</v>
      </c>
      <c r="D65" s="4" t="s">
        <v>18</v>
      </c>
      <c r="E65" s="4" t="s">
        <v>136</v>
      </c>
      <c r="F65" s="4" t="s">
        <v>90</v>
      </c>
      <c r="G65" s="5"/>
      <c r="H65" s="5"/>
      <c r="I65" s="6"/>
      <c r="J65" s="6"/>
      <c r="K65" s="6"/>
      <c r="L65" s="6"/>
      <c r="M65" s="7" t="str">
        <f>IF(COUNT(G65:H65)&lt;2,"",IF(G65&gt;H65,E65,IF(H65&gt;G65,F65,"")))</f>
        <v/>
      </c>
      <c r="N65" s="8" t="s">
        <v>137</v>
      </c>
    </row>
    <row r="66" spans="1:14" x14ac:dyDescent="0.25">
      <c r="A66" s="4" t="s">
        <v>131</v>
      </c>
      <c r="B66" s="4">
        <v>3</v>
      </c>
      <c r="C66" s="4" t="s">
        <v>132</v>
      </c>
      <c r="D66" s="4" t="s">
        <v>18</v>
      </c>
      <c r="E66" s="4" t="s">
        <v>138</v>
      </c>
      <c r="F66" s="4" t="s">
        <v>139</v>
      </c>
      <c r="G66" s="5"/>
      <c r="H66" s="5"/>
      <c r="I66" s="6"/>
      <c r="J66" s="6"/>
      <c r="K66" s="6"/>
      <c r="L66" s="6"/>
      <c r="M66" s="7" t="str">
        <f>IF(COUNT(G66:H66)&lt;2,"",IF(G66&gt;H66,E66,IF(H66&gt;G66,F66,"")))</f>
        <v/>
      </c>
      <c r="N66" s="8" t="s">
        <v>140</v>
      </c>
    </row>
    <row r="67" spans="1:14" x14ac:dyDescent="0.25">
      <c r="A67" s="4" t="s">
        <v>131</v>
      </c>
      <c r="B67" s="4">
        <v>4</v>
      </c>
      <c r="C67" s="4" t="s">
        <v>132</v>
      </c>
      <c r="D67" s="4" t="s">
        <v>18</v>
      </c>
      <c r="E67" s="4" t="s">
        <v>141</v>
      </c>
      <c r="F67" s="4" t="s">
        <v>142</v>
      </c>
      <c r="G67" s="5"/>
      <c r="H67" s="5"/>
      <c r="I67" s="6"/>
      <c r="J67" s="6"/>
      <c r="K67" s="6"/>
      <c r="L67" s="6"/>
      <c r="M67" s="7" t="str">
        <f>IF(COUNT(G67:H67)&lt;2,"",IF(G67&gt;H67,E67,IF(H67&gt;G67,F67,"")))</f>
        <v/>
      </c>
      <c r="N67" s="8" t="s">
        <v>143</v>
      </c>
    </row>
    <row r="68" spans="1:14" x14ac:dyDescent="0.25">
      <c r="A68" s="9" t="s">
        <v>131</v>
      </c>
      <c r="B68" s="9">
        <v>5</v>
      </c>
      <c r="C68" s="9" t="s">
        <v>98</v>
      </c>
      <c r="D68" s="9" t="s">
        <v>86</v>
      </c>
      <c r="E68" s="10"/>
      <c r="F68" s="10"/>
      <c r="G68" s="5"/>
      <c r="H68" s="5"/>
      <c r="I68" s="5"/>
      <c r="J68" s="5"/>
      <c r="K68" s="5"/>
      <c r="L68" s="5"/>
      <c r="M68" s="7" t="str">
        <f>IF(COUNT(G68:L68)&lt;4,"",IF((G68&gt;H68)+(I68&gt;J68)+(K68&gt;L68)&gt;=2,E68,IF((H68&gt;G68)+(J68&gt;I68)+(L68&gt;K68)&gt;=2,F68,"")))</f>
        <v/>
      </c>
      <c r="N68" s="8" t="s">
        <v>144</v>
      </c>
    </row>
    <row r="69" spans="1:14" x14ac:dyDescent="0.25">
      <c r="A69" s="4" t="s">
        <v>145</v>
      </c>
      <c r="B69" s="4">
        <v>1</v>
      </c>
      <c r="C69" s="4" t="s">
        <v>132</v>
      </c>
      <c r="D69" s="4" t="s">
        <v>18</v>
      </c>
      <c r="E69" s="4" t="s">
        <v>133</v>
      </c>
      <c r="F69" s="4" t="s">
        <v>90</v>
      </c>
      <c r="G69" s="5"/>
      <c r="H69" s="5"/>
      <c r="I69" s="6"/>
      <c r="J69" s="6"/>
      <c r="K69" s="6"/>
      <c r="L69" s="6"/>
      <c r="M69" s="7" t="str">
        <f t="shared" ref="M69:M82" si="2">IF(COUNT(G69:H69)&lt;2,"",IF(G69&gt;H69,E69,IF(H69&gt;G69,F69,"")))</f>
        <v/>
      </c>
      <c r="N69" s="8" t="s">
        <v>146</v>
      </c>
    </row>
    <row r="70" spans="1:14" x14ac:dyDescent="0.25">
      <c r="A70" s="4" t="s">
        <v>145</v>
      </c>
      <c r="B70" s="4">
        <v>2</v>
      </c>
      <c r="C70" s="4" t="s">
        <v>132</v>
      </c>
      <c r="D70" s="4" t="s">
        <v>18</v>
      </c>
      <c r="E70" s="4" t="s">
        <v>134</v>
      </c>
      <c r="F70" s="4" t="s">
        <v>139</v>
      </c>
      <c r="G70" s="5"/>
      <c r="H70" s="5"/>
      <c r="I70" s="6"/>
      <c r="J70" s="6"/>
      <c r="K70" s="6"/>
      <c r="L70" s="6"/>
      <c r="M70" s="7" t="str">
        <f t="shared" si="2"/>
        <v/>
      </c>
      <c r="N70" s="8" t="s">
        <v>147</v>
      </c>
    </row>
    <row r="71" spans="1:14" x14ac:dyDescent="0.25">
      <c r="A71" s="4" t="s">
        <v>145</v>
      </c>
      <c r="B71" s="4">
        <v>3</v>
      </c>
      <c r="C71" s="4" t="s">
        <v>132</v>
      </c>
      <c r="D71" s="4" t="s">
        <v>18</v>
      </c>
      <c r="E71" s="4" t="s">
        <v>136</v>
      </c>
      <c r="F71" s="4" t="s">
        <v>142</v>
      </c>
      <c r="G71" s="5"/>
      <c r="H71" s="5"/>
      <c r="I71" s="6"/>
      <c r="J71" s="6"/>
      <c r="K71" s="6"/>
      <c r="L71" s="6"/>
      <c r="M71" s="7" t="str">
        <f t="shared" si="2"/>
        <v/>
      </c>
      <c r="N71" s="8" t="s">
        <v>148</v>
      </c>
    </row>
    <row r="72" spans="1:14" x14ac:dyDescent="0.25">
      <c r="A72" s="4" t="s">
        <v>145</v>
      </c>
      <c r="B72" s="4">
        <v>4</v>
      </c>
      <c r="C72" s="4" t="s">
        <v>132</v>
      </c>
      <c r="D72" s="4" t="s">
        <v>18</v>
      </c>
      <c r="E72" s="4" t="s">
        <v>138</v>
      </c>
      <c r="F72" s="4" t="s">
        <v>141</v>
      </c>
      <c r="G72" s="5"/>
      <c r="H72" s="5"/>
      <c r="I72" s="6"/>
      <c r="J72" s="6"/>
      <c r="K72" s="6"/>
      <c r="L72" s="6"/>
      <c r="M72" s="7" t="str">
        <f t="shared" si="2"/>
        <v/>
      </c>
      <c r="N72" s="8" t="s">
        <v>149</v>
      </c>
    </row>
    <row r="73" spans="1:14" x14ac:dyDescent="0.25">
      <c r="A73" s="4" t="s">
        <v>150</v>
      </c>
      <c r="B73" s="4">
        <v>1</v>
      </c>
      <c r="C73" s="4" t="s">
        <v>132</v>
      </c>
      <c r="D73" s="4" t="s">
        <v>18</v>
      </c>
      <c r="E73" s="4" t="s">
        <v>133</v>
      </c>
      <c r="F73" s="4" t="s">
        <v>139</v>
      </c>
      <c r="G73" s="5"/>
      <c r="H73" s="5"/>
      <c r="I73" s="6"/>
      <c r="J73" s="6"/>
      <c r="K73" s="6"/>
      <c r="L73" s="6"/>
      <c r="M73" s="7" t="str">
        <f t="shared" si="2"/>
        <v/>
      </c>
      <c r="N73" s="8" t="s">
        <v>151</v>
      </c>
    </row>
    <row r="74" spans="1:14" x14ac:dyDescent="0.25">
      <c r="A74" s="4" t="s">
        <v>150</v>
      </c>
      <c r="B74" s="4">
        <v>2</v>
      </c>
      <c r="C74" s="4" t="s">
        <v>132</v>
      </c>
      <c r="D74" s="4" t="s">
        <v>18</v>
      </c>
      <c r="E74" s="4" t="s">
        <v>90</v>
      </c>
      <c r="F74" s="4" t="s">
        <v>142</v>
      </c>
      <c r="G74" s="5"/>
      <c r="H74" s="5"/>
      <c r="I74" s="6"/>
      <c r="J74" s="6"/>
      <c r="K74" s="6"/>
      <c r="L74" s="6"/>
      <c r="M74" s="7" t="str">
        <f t="shared" si="2"/>
        <v/>
      </c>
      <c r="N74" s="8" t="s">
        <v>152</v>
      </c>
    </row>
    <row r="75" spans="1:14" x14ac:dyDescent="0.25">
      <c r="A75" s="4" t="s">
        <v>150</v>
      </c>
      <c r="B75" s="4">
        <v>3</v>
      </c>
      <c r="C75" s="4" t="s">
        <v>132</v>
      </c>
      <c r="D75" s="4" t="s">
        <v>18</v>
      </c>
      <c r="E75" s="4" t="s">
        <v>134</v>
      </c>
      <c r="F75" s="4" t="s">
        <v>141</v>
      </c>
      <c r="G75" s="5"/>
      <c r="H75" s="5"/>
      <c r="I75" s="6"/>
      <c r="J75" s="6"/>
      <c r="K75" s="6"/>
      <c r="L75" s="6"/>
      <c r="M75" s="7" t="str">
        <f t="shared" si="2"/>
        <v/>
      </c>
      <c r="N75" s="8" t="s">
        <v>153</v>
      </c>
    </row>
    <row r="76" spans="1:14" x14ac:dyDescent="0.25">
      <c r="A76" s="4" t="s">
        <v>150</v>
      </c>
      <c r="B76" s="4">
        <v>4</v>
      </c>
      <c r="C76" s="4" t="s">
        <v>132</v>
      </c>
      <c r="D76" s="4" t="s">
        <v>18</v>
      </c>
      <c r="E76" s="4" t="s">
        <v>136</v>
      </c>
      <c r="F76" s="4" t="s">
        <v>138</v>
      </c>
      <c r="G76" s="5"/>
      <c r="H76" s="5"/>
      <c r="I76" s="6"/>
      <c r="J76" s="6"/>
      <c r="K76" s="6"/>
      <c r="L76" s="6"/>
      <c r="M76" s="7" t="str">
        <f t="shared" si="2"/>
        <v/>
      </c>
      <c r="N76" s="8" t="s">
        <v>154</v>
      </c>
    </row>
    <row r="77" spans="1:14" x14ac:dyDescent="0.25">
      <c r="A77" s="4" t="s">
        <v>155</v>
      </c>
      <c r="B77" s="4">
        <v>1</v>
      </c>
      <c r="C77" s="4" t="s">
        <v>132</v>
      </c>
      <c r="D77" s="4" t="s">
        <v>18</v>
      </c>
      <c r="E77" s="4" t="s">
        <v>133</v>
      </c>
      <c r="F77" s="4" t="s">
        <v>142</v>
      </c>
      <c r="G77" s="5"/>
      <c r="H77" s="5"/>
      <c r="I77" s="6"/>
      <c r="J77" s="6"/>
      <c r="K77" s="6"/>
      <c r="L77" s="6"/>
      <c r="M77" s="7" t="str">
        <f t="shared" si="2"/>
        <v/>
      </c>
      <c r="N77" s="8" t="s">
        <v>156</v>
      </c>
    </row>
    <row r="78" spans="1:14" x14ac:dyDescent="0.25">
      <c r="A78" s="4" t="s">
        <v>155</v>
      </c>
      <c r="B78" s="4">
        <v>2</v>
      </c>
      <c r="C78" s="4" t="s">
        <v>132</v>
      </c>
      <c r="D78" s="4" t="s">
        <v>18</v>
      </c>
      <c r="E78" s="4" t="s">
        <v>139</v>
      </c>
      <c r="F78" s="4" t="s">
        <v>141</v>
      </c>
      <c r="G78" s="5"/>
      <c r="H78" s="5"/>
      <c r="I78" s="6"/>
      <c r="J78" s="6"/>
      <c r="K78" s="6"/>
      <c r="L78" s="6"/>
      <c r="M78" s="7" t="str">
        <f t="shared" si="2"/>
        <v/>
      </c>
      <c r="N78" s="8" t="s">
        <v>157</v>
      </c>
    </row>
    <row r="79" spans="1:14" x14ac:dyDescent="0.25">
      <c r="A79" s="4" t="s">
        <v>155</v>
      </c>
      <c r="B79" s="4">
        <v>3</v>
      </c>
      <c r="C79" s="4" t="s">
        <v>132</v>
      </c>
      <c r="D79" s="4" t="s">
        <v>18</v>
      </c>
      <c r="E79" s="4" t="s">
        <v>90</v>
      </c>
      <c r="F79" s="4" t="s">
        <v>138</v>
      </c>
      <c r="G79" s="5"/>
      <c r="H79" s="5"/>
      <c r="I79" s="6"/>
      <c r="J79" s="6"/>
      <c r="K79" s="6"/>
      <c r="L79" s="6"/>
      <c r="M79" s="7" t="str">
        <f t="shared" si="2"/>
        <v/>
      </c>
      <c r="N79" s="8" t="s">
        <v>158</v>
      </c>
    </row>
    <row r="80" spans="1:14" x14ac:dyDescent="0.25">
      <c r="A80" s="4" t="s">
        <v>155</v>
      </c>
      <c r="B80" s="4">
        <v>4</v>
      </c>
      <c r="C80" s="4" t="s">
        <v>132</v>
      </c>
      <c r="D80" s="4" t="s">
        <v>18</v>
      </c>
      <c r="E80" s="4" t="s">
        <v>134</v>
      </c>
      <c r="F80" s="4" t="s">
        <v>136</v>
      </c>
      <c r="G80" s="5"/>
      <c r="H80" s="5"/>
      <c r="I80" s="6"/>
      <c r="J80" s="6"/>
      <c r="K80" s="6"/>
      <c r="L80" s="6"/>
      <c r="M80" s="7" t="str">
        <f t="shared" si="2"/>
        <v/>
      </c>
      <c r="N80" s="8" t="s">
        <v>159</v>
      </c>
    </row>
    <row r="81" spans="1:14" x14ac:dyDescent="0.25">
      <c r="A81" s="9" t="s">
        <v>160</v>
      </c>
      <c r="B81" s="9">
        <v>1</v>
      </c>
      <c r="C81" s="9" t="s">
        <v>132</v>
      </c>
      <c r="D81" s="9" t="s">
        <v>78</v>
      </c>
      <c r="E81" s="10"/>
      <c r="F81" s="10"/>
      <c r="G81" s="5"/>
      <c r="H81" s="5"/>
      <c r="I81" s="6"/>
      <c r="J81" s="6"/>
      <c r="K81" s="6"/>
      <c r="L81" s="6"/>
      <c r="M81" s="7" t="str">
        <f t="shared" si="2"/>
        <v/>
      </c>
      <c r="N81" s="8" t="s">
        <v>161</v>
      </c>
    </row>
    <row r="82" spans="1:14" x14ac:dyDescent="0.25">
      <c r="A82" s="9" t="s">
        <v>160</v>
      </c>
      <c r="B82" s="9">
        <v>2</v>
      </c>
      <c r="C82" s="9" t="s">
        <v>132</v>
      </c>
      <c r="D82" s="9" t="s">
        <v>80</v>
      </c>
      <c r="E82" s="10"/>
      <c r="F82" s="10"/>
      <c r="G82" s="5"/>
      <c r="H82" s="5"/>
      <c r="I82" s="6"/>
      <c r="J82" s="6"/>
      <c r="K82" s="6"/>
      <c r="L82" s="6"/>
      <c r="M82" s="7" t="str">
        <f t="shared" si="2"/>
        <v/>
      </c>
      <c r="N82" s="8" t="s">
        <v>162</v>
      </c>
    </row>
    <row r="83" spans="1:14" x14ac:dyDescent="0.25">
      <c r="A83" s="9" t="s">
        <v>163</v>
      </c>
      <c r="B83" s="9">
        <v>1</v>
      </c>
      <c r="C83" s="9" t="s">
        <v>132</v>
      </c>
      <c r="D83" s="9" t="s">
        <v>86</v>
      </c>
      <c r="E83" s="10"/>
      <c r="F83" s="10"/>
      <c r="G83" s="5"/>
      <c r="H83" s="5"/>
      <c r="I83" s="5"/>
      <c r="J83" s="5"/>
      <c r="K83" s="5"/>
      <c r="L83" s="5"/>
      <c r="M83" s="7" t="str">
        <f>IF(COUNT(G83:L83)&lt;4,"",IF((G83&gt;H83)+(I83&gt;J83)+(K83&gt;L83)&gt;=2,E83,IF((H83&gt;G83)+(J83&gt;I83)+(L83&gt;K83)&gt;=2,F83,"")))</f>
        <v/>
      </c>
      <c r="N83" s="8" t="s">
        <v>164</v>
      </c>
    </row>
  </sheetData>
  <conditionalFormatting sqref="G5:H83">
    <cfRule type="expression" dxfId="5" priority="1">
      <formula>AND(ISNUMBER($G5),$G5=$H5)</formula>
    </cfRule>
  </conditionalFormatting>
  <dataValidations count="1">
    <dataValidation type="whole" allowBlank="1" errorTitle="Check the score" error="Scores are whole numbers from 0 to 21" sqref="G5:L83" xr:uid="{00000000-0002-0000-0000-000000000000}">
      <formula1>0</formula1>
      <formula2>21</formula2>
    </dataValidation>
  </dataValidations>
  <pageMargins left="0.75" right="0.75" top="1" bottom="1" header="0.5" footer="0.5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/>
  </sheetViews>
  <sheetFormatPr defaultRowHeight="15" x14ac:dyDescent="0.25"/>
  <cols>
    <col min="1" max="1" width="34" customWidth="1"/>
    <col min="2" max="2" width="9" customWidth="1"/>
    <col min="3" max="4" width="8" customWidth="1"/>
    <col min="5" max="5" width="12" customWidth="1"/>
    <col min="6" max="6" width="14" customWidth="1"/>
    <col min="7" max="8" width="8" customWidth="1"/>
    <col min="10" max="10" width="13" hidden="1" customWidth="1"/>
  </cols>
  <sheetData>
    <row r="1" spans="1:10" ht="16.5" x14ac:dyDescent="0.25">
      <c r="A1" s="11" t="s">
        <v>165</v>
      </c>
    </row>
    <row r="2" spans="1:10" x14ac:dyDescent="0.25">
      <c r="A2" s="2" t="s">
        <v>166</v>
      </c>
    </row>
    <row r="4" spans="1:10" ht="30" x14ac:dyDescent="0.25">
      <c r="A4" s="3" t="s">
        <v>167</v>
      </c>
      <c r="B4" s="3" t="s">
        <v>168</v>
      </c>
      <c r="C4" s="3" t="s">
        <v>169</v>
      </c>
      <c r="D4" s="3" t="s">
        <v>170</v>
      </c>
      <c r="E4" s="3" t="s">
        <v>171</v>
      </c>
      <c r="F4" s="3" t="s">
        <v>172</v>
      </c>
      <c r="G4" s="3" t="s">
        <v>173</v>
      </c>
      <c r="H4" s="3" t="s">
        <v>174</v>
      </c>
    </row>
    <row r="5" spans="1:10" x14ac:dyDescent="0.25">
      <c r="A5" s="7" t="s">
        <v>32</v>
      </c>
      <c r="B5" s="4">
        <f>SUMPRODUCT((Schedule!$C$5:$C$83="Open 3.0")*(Schedule!$D$5:$D$83="League")*ISNUMBER(Schedule!$G$5:$G$83)*ISNUMBER(Schedule!$H$5:$H$83)*((Schedule!$E$5:$E$83=A5)+(Schedule!$F$5:$F$83=A5)))</f>
        <v>0</v>
      </c>
      <c r="C5" s="4">
        <f>SUMPRODUCT((Schedule!$C$5:$C$83="Open 3.0")*(Schedule!$D$5:$D$83="League")*ISNUMBER(Schedule!$G$5:$G$83)*ISNUMBER(Schedule!$H$5:$H$83)*(((Schedule!$E$5:$E$83=A5)*(Schedule!$G$5:$G$83&gt;Schedule!$H$5:$H$83))+((Schedule!$F$5:$F$83=A5)*(Schedule!$H$5:$H$83&gt;Schedule!$G$5:$G$83))))</f>
        <v>0</v>
      </c>
      <c r="D5" s="4">
        <f t="shared" ref="D5:D10" si="0">B5-C5</f>
        <v>0</v>
      </c>
      <c r="E5" s="4">
        <f>SUMPRODUCT((Schedule!$C$5:$C$83="Open 3.0")*(Schedule!$D$5:$D$83="League")*ISNUMBER(Schedule!$G$5:$G$83)*ISNUMBER(Schedule!$H$5:$H$83)*(((Schedule!$E$5:$E$83=A5)*Schedule!$G$5:$G$83)+((Schedule!$F$5:$F$83=A5)*Schedule!$H$5:$H$83)))</f>
        <v>0</v>
      </c>
      <c r="F5" s="4">
        <f>SUMPRODUCT((Schedule!$C$5:$C$83="Open 3.0")*(Schedule!$D$5:$D$83="League")*ISNUMBER(Schedule!$G$5:$G$83)*ISNUMBER(Schedule!$H$5:$H$83)*(((Schedule!$E$5:$E$83=A5)*Schedule!$H$5:$H$83)+((Schedule!$F$5:$F$83=A5)*Schedule!$G$5:$G$83)))</f>
        <v>0</v>
      </c>
      <c r="G5" s="4">
        <f t="shared" ref="G5:G10" si="1">E5-F5</f>
        <v>0</v>
      </c>
      <c r="H5" s="7">
        <f t="shared" ref="H5:H10" si="2">RANK(J5,$J$5:$J$10,0)</f>
        <v>6</v>
      </c>
      <c r="J5">
        <f t="shared" ref="J5:J10" si="3">C5*10000+G5*100+E5+ROW()/1000</f>
        <v>5.0000000000000001E-3</v>
      </c>
    </row>
    <row r="6" spans="1:10" x14ac:dyDescent="0.25">
      <c r="A6" s="7" t="s">
        <v>35</v>
      </c>
      <c r="B6" s="4">
        <f>SUMPRODUCT((Schedule!$C$5:$C$83="Open 3.0")*(Schedule!$D$5:$D$83="League")*ISNUMBER(Schedule!$G$5:$G$83)*ISNUMBER(Schedule!$H$5:$H$83)*((Schedule!$E$5:$E$83=A6)+(Schedule!$F$5:$F$83=A6)))</f>
        <v>0</v>
      </c>
      <c r="C6" s="4">
        <f>SUMPRODUCT((Schedule!$C$5:$C$83="Open 3.0")*(Schedule!$D$5:$D$83="League")*ISNUMBER(Schedule!$G$5:$G$83)*ISNUMBER(Schedule!$H$5:$H$83)*(((Schedule!$E$5:$E$83=A6)*(Schedule!$G$5:$G$83&gt;Schedule!$H$5:$H$83))+((Schedule!$F$5:$F$83=A6)*(Schedule!$H$5:$H$83&gt;Schedule!$G$5:$G$83))))</f>
        <v>0</v>
      </c>
      <c r="D6" s="4">
        <f t="shared" si="0"/>
        <v>0</v>
      </c>
      <c r="E6" s="4">
        <f>SUMPRODUCT((Schedule!$C$5:$C$83="Open 3.0")*(Schedule!$D$5:$D$83="League")*ISNUMBER(Schedule!$G$5:$G$83)*ISNUMBER(Schedule!$H$5:$H$83)*(((Schedule!$E$5:$E$83=A6)*Schedule!$G$5:$G$83)+((Schedule!$F$5:$F$83=A6)*Schedule!$H$5:$H$83)))</f>
        <v>0</v>
      </c>
      <c r="F6" s="4">
        <f>SUMPRODUCT((Schedule!$C$5:$C$83="Open 3.0")*(Schedule!$D$5:$D$83="League")*ISNUMBER(Schedule!$G$5:$G$83)*ISNUMBER(Schedule!$H$5:$H$83)*(((Schedule!$E$5:$E$83=A6)*Schedule!$H$5:$H$83)+((Schedule!$F$5:$F$83=A6)*Schedule!$G$5:$G$83)))</f>
        <v>0</v>
      </c>
      <c r="G6" s="4">
        <f t="shared" si="1"/>
        <v>0</v>
      </c>
      <c r="H6" s="7">
        <f t="shared" si="2"/>
        <v>5</v>
      </c>
      <c r="J6">
        <f t="shared" si="3"/>
        <v>6.0000000000000001E-3</v>
      </c>
    </row>
    <row r="7" spans="1:10" x14ac:dyDescent="0.25">
      <c r="A7" s="7" t="s">
        <v>45</v>
      </c>
      <c r="B7" s="4">
        <f>SUMPRODUCT((Schedule!$C$5:$C$83="Open 3.0")*(Schedule!$D$5:$D$83="League")*ISNUMBER(Schedule!$G$5:$G$83)*ISNUMBER(Schedule!$H$5:$H$83)*((Schedule!$E$5:$E$83=A7)+(Schedule!$F$5:$F$83=A7)))</f>
        <v>0</v>
      </c>
      <c r="C7" s="4">
        <f>SUMPRODUCT((Schedule!$C$5:$C$83="Open 3.0")*(Schedule!$D$5:$D$83="League")*ISNUMBER(Schedule!$G$5:$G$83)*ISNUMBER(Schedule!$H$5:$H$83)*(((Schedule!$E$5:$E$83=A7)*(Schedule!$G$5:$G$83&gt;Schedule!$H$5:$H$83))+((Schedule!$F$5:$F$83=A7)*(Schedule!$H$5:$H$83&gt;Schedule!$G$5:$G$83))))</f>
        <v>0</v>
      </c>
      <c r="D7" s="4">
        <f t="shared" si="0"/>
        <v>0</v>
      </c>
      <c r="E7" s="4">
        <f>SUMPRODUCT((Schedule!$C$5:$C$83="Open 3.0")*(Schedule!$D$5:$D$83="League")*ISNUMBER(Schedule!$G$5:$G$83)*ISNUMBER(Schedule!$H$5:$H$83)*(((Schedule!$E$5:$E$83=A7)*Schedule!$G$5:$G$83)+((Schedule!$F$5:$F$83=A7)*Schedule!$H$5:$H$83)))</f>
        <v>0</v>
      </c>
      <c r="F7" s="4">
        <f>SUMPRODUCT((Schedule!$C$5:$C$83="Open 3.0")*(Schedule!$D$5:$D$83="League")*ISNUMBER(Schedule!$G$5:$G$83)*ISNUMBER(Schedule!$H$5:$H$83)*(((Schedule!$E$5:$E$83=A7)*Schedule!$H$5:$H$83)+((Schedule!$F$5:$F$83=A7)*Schedule!$G$5:$G$83)))</f>
        <v>0</v>
      </c>
      <c r="G7" s="4">
        <f t="shared" si="1"/>
        <v>0</v>
      </c>
      <c r="H7" s="7">
        <f t="shared" si="2"/>
        <v>4</v>
      </c>
      <c r="J7">
        <f t="shared" si="3"/>
        <v>7.0000000000000001E-3</v>
      </c>
    </row>
    <row r="8" spans="1:10" x14ac:dyDescent="0.25">
      <c r="A8" s="7" t="s">
        <v>46</v>
      </c>
      <c r="B8" s="4">
        <f>SUMPRODUCT((Schedule!$C$5:$C$83="Open 3.0")*(Schedule!$D$5:$D$83="League")*ISNUMBER(Schedule!$G$5:$G$83)*ISNUMBER(Schedule!$H$5:$H$83)*((Schedule!$E$5:$E$83=A8)+(Schedule!$F$5:$F$83=A8)))</f>
        <v>0</v>
      </c>
      <c r="C8" s="4">
        <f>SUMPRODUCT((Schedule!$C$5:$C$83="Open 3.0")*(Schedule!$D$5:$D$83="League")*ISNUMBER(Schedule!$G$5:$G$83)*ISNUMBER(Schedule!$H$5:$H$83)*(((Schedule!$E$5:$E$83=A8)*(Schedule!$G$5:$G$83&gt;Schedule!$H$5:$H$83))+((Schedule!$F$5:$F$83=A8)*(Schedule!$H$5:$H$83&gt;Schedule!$G$5:$G$83))))</f>
        <v>0</v>
      </c>
      <c r="D8" s="4">
        <f t="shared" si="0"/>
        <v>0</v>
      </c>
      <c r="E8" s="4">
        <f>SUMPRODUCT((Schedule!$C$5:$C$83="Open 3.0")*(Schedule!$D$5:$D$83="League")*ISNUMBER(Schedule!$G$5:$G$83)*ISNUMBER(Schedule!$H$5:$H$83)*(((Schedule!$E$5:$E$83=A8)*Schedule!$G$5:$G$83)+((Schedule!$F$5:$F$83=A8)*Schedule!$H$5:$H$83)))</f>
        <v>0</v>
      </c>
      <c r="F8" s="4">
        <f>SUMPRODUCT((Schedule!$C$5:$C$83="Open 3.0")*(Schedule!$D$5:$D$83="League")*ISNUMBER(Schedule!$G$5:$G$83)*ISNUMBER(Schedule!$H$5:$H$83)*(((Schedule!$E$5:$E$83=A8)*Schedule!$H$5:$H$83)+((Schedule!$F$5:$F$83=A8)*Schedule!$G$5:$G$83)))</f>
        <v>0</v>
      </c>
      <c r="G8" s="4">
        <f t="shared" si="1"/>
        <v>0</v>
      </c>
      <c r="H8" s="7">
        <f t="shared" si="2"/>
        <v>3</v>
      </c>
      <c r="J8">
        <f t="shared" si="3"/>
        <v>8.0000000000000002E-3</v>
      </c>
    </row>
    <row r="9" spans="1:10" x14ac:dyDescent="0.25">
      <c r="A9" s="7" t="s">
        <v>36</v>
      </c>
      <c r="B9" s="4">
        <f>SUMPRODUCT((Schedule!$C$5:$C$83="Open 3.0")*(Schedule!$D$5:$D$83="League")*ISNUMBER(Schedule!$G$5:$G$83)*ISNUMBER(Schedule!$H$5:$H$83)*((Schedule!$E$5:$E$83=A9)+(Schedule!$F$5:$F$83=A9)))</f>
        <v>0</v>
      </c>
      <c r="C9" s="4">
        <f>SUMPRODUCT((Schedule!$C$5:$C$83="Open 3.0")*(Schedule!$D$5:$D$83="League")*ISNUMBER(Schedule!$G$5:$G$83)*ISNUMBER(Schedule!$H$5:$H$83)*(((Schedule!$E$5:$E$83=A9)*(Schedule!$G$5:$G$83&gt;Schedule!$H$5:$H$83))+((Schedule!$F$5:$F$83=A9)*(Schedule!$H$5:$H$83&gt;Schedule!$G$5:$G$83))))</f>
        <v>0</v>
      </c>
      <c r="D9" s="4">
        <f t="shared" si="0"/>
        <v>0</v>
      </c>
      <c r="E9" s="4">
        <f>SUMPRODUCT((Schedule!$C$5:$C$83="Open 3.0")*(Schedule!$D$5:$D$83="League")*ISNUMBER(Schedule!$G$5:$G$83)*ISNUMBER(Schedule!$H$5:$H$83)*(((Schedule!$E$5:$E$83=A9)*Schedule!$G$5:$G$83)+((Schedule!$F$5:$F$83=A9)*Schedule!$H$5:$H$83)))</f>
        <v>0</v>
      </c>
      <c r="F9" s="4">
        <f>SUMPRODUCT((Schedule!$C$5:$C$83="Open 3.0")*(Schedule!$D$5:$D$83="League")*ISNUMBER(Schedule!$G$5:$G$83)*ISNUMBER(Schedule!$H$5:$H$83)*(((Schedule!$E$5:$E$83=A9)*Schedule!$H$5:$H$83)+((Schedule!$F$5:$F$83=A9)*Schedule!$G$5:$G$83)))</f>
        <v>0</v>
      </c>
      <c r="G9" s="4">
        <f t="shared" si="1"/>
        <v>0</v>
      </c>
      <c r="H9" s="7">
        <f t="shared" si="2"/>
        <v>2</v>
      </c>
      <c r="J9">
        <f t="shared" si="3"/>
        <v>8.9999999999999993E-3</v>
      </c>
    </row>
    <row r="10" spans="1:10" x14ac:dyDescent="0.25">
      <c r="A10" s="7" t="s">
        <v>33</v>
      </c>
      <c r="B10" s="4">
        <f>SUMPRODUCT((Schedule!$C$5:$C$83="Open 3.0")*(Schedule!$D$5:$D$83="League")*ISNUMBER(Schedule!$G$5:$G$83)*ISNUMBER(Schedule!$H$5:$H$83)*((Schedule!$E$5:$E$83=A10)+(Schedule!$F$5:$F$83=A10)))</f>
        <v>0</v>
      </c>
      <c r="C10" s="4">
        <f>SUMPRODUCT((Schedule!$C$5:$C$83="Open 3.0")*(Schedule!$D$5:$D$83="League")*ISNUMBER(Schedule!$G$5:$G$83)*ISNUMBER(Schedule!$H$5:$H$83)*(((Schedule!$E$5:$E$83=A10)*(Schedule!$G$5:$G$83&gt;Schedule!$H$5:$H$83))+((Schedule!$F$5:$F$83=A10)*(Schedule!$H$5:$H$83&gt;Schedule!$G$5:$G$83))))</f>
        <v>0</v>
      </c>
      <c r="D10" s="4">
        <f t="shared" si="0"/>
        <v>0</v>
      </c>
      <c r="E10" s="4">
        <f>SUMPRODUCT((Schedule!$C$5:$C$83="Open 3.0")*(Schedule!$D$5:$D$83="League")*ISNUMBER(Schedule!$G$5:$G$83)*ISNUMBER(Schedule!$H$5:$H$83)*(((Schedule!$E$5:$E$83=A10)*Schedule!$G$5:$G$83)+((Schedule!$F$5:$F$83=A10)*Schedule!$H$5:$H$83)))</f>
        <v>0</v>
      </c>
      <c r="F10" s="4">
        <f>SUMPRODUCT((Schedule!$C$5:$C$83="Open 3.0")*(Schedule!$D$5:$D$83="League")*ISNUMBER(Schedule!$G$5:$G$83)*ISNUMBER(Schedule!$H$5:$H$83)*(((Schedule!$E$5:$E$83=A10)*Schedule!$H$5:$H$83)+((Schedule!$F$5:$F$83=A10)*Schedule!$G$5:$G$83)))</f>
        <v>0</v>
      </c>
      <c r="G10" s="4">
        <f t="shared" si="1"/>
        <v>0</v>
      </c>
      <c r="H10" s="7">
        <f t="shared" si="2"/>
        <v>1</v>
      </c>
      <c r="J10">
        <f t="shared" si="3"/>
        <v>0.01</v>
      </c>
    </row>
    <row r="12" spans="1:10" x14ac:dyDescent="0.25">
      <c r="A12" s="12" t="s">
        <v>175</v>
      </c>
    </row>
  </sheetData>
  <conditionalFormatting sqref="A5:H10">
    <cfRule type="expression" dxfId="4" priority="1">
      <formula>$H5&lt;=4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/>
  </sheetViews>
  <sheetFormatPr defaultRowHeight="15" x14ac:dyDescent="0.25"/>
  <cols>
    <col min="1" max="1" width="34" customWidth="1"/>
    <col min="2" max="2" width="9" customWidth="1"/>
    <col min="3" max="4" width="8" customWidth="1"/>
    <col min="5" max="5" width="12" customWidth="1"/>
    <col min="6" max="6" width="14" customWidth="1"/>
    <col min="7" max="8" width="8" customWidth="1"/>
    <col min="10" max="10" width="13" hidden="1" customWidth="1"/>
  </cols>
  <sheetData>
    <row r="1" spans="1:10" ht="16.5" x14ac:dyDescent="0.25">
      <c r="A1" s="11" t="s">
        <v>176</v>
      </c>
    </row>
    <row r="2" spans="1:10" x14ac:dyDescent="0.25">
      <c r="A2" s="2" t="s">
        <v>166</v>
      </c>
    </row>
    <row r="4" spans="1:10" ht="30" x14ac:dyDescent="0.25">
      <c r="A4" s="3" t="s">
        <v>167</v>
      </c>
      <c r="B4" s="3" t="s">
        <v>168</v>
      </c>
      <c r="C4" s="3" t="s">
        <v>169</v>
      </c>
      <c r="D4" s="3" t="s">
        <v>170</v>
      </c>
      <c r="E4" s="3" t="s">
        <v>171</v>
      </c>
      <c r="F4" s="3" t="s">
        <v>172</v>
      </c>
      <c r="G4" s="3" t="s">
        <v>173</v>
      </c>
      <c r="H4" s="3" t="s">
        <v>174</v>
      </c>
    </row>
    <row r="5" spans="1:10" x14ac:dyDescent="0.25">
      <c r="A5" s="7" t="s">
        <v>19</v>
      </c>
      <c r="B5" s="4">
        <f>SUMPRODUCT((Schedule!$C$5:$C$83="Open 3.5")*(Schedule!$D$5:$D$83="League")*ISNUMBER(Schedule!$G$5:$G$83)*ISNUMBER(Schedule!$H$5:$H$83)*((Schedule!$E$5:$E$83=A5)+(Schedule!$F$5:$F$83=A5)))</f>
        <v>0</v>
      </c>
      <c r="C5" s="4">
        <f>SUMPRODUCT((Schedule!$C$5:$C$83="Open 3.5")*(Schedule!$D$5:$D$83="League")*ISNUMBER(Schedule!$G$5:$G$83)*ISNUMBER(Schedule!$H$5:$H$83)*(((Schedule!$E$5:$E$83=A5)*(Schedule!$G$5:$G$83&gt;Schedule!$H$5:$H$83))+((Schedule!$F$5:$F$83=A5)*(Schedule!$H$5:$H$83&gt;Schedule!$G$5:$G$83))))</f>
        <v>0</v>
      </c>
      <c r="D5" s="4">
        <f t="shared" ref="D5:D14" si="0">B5-C5</f>
        <v>0</v>
      </c>
      <c r="E5" s="4">
        <f>SUMPRODUCT((Schedule!$C$5:$C$83="Open 3.5")*(Schedule!$D$5:$D$83="League")*ISNUMBER(Schedule!$G$5:$G$83)*ISNUMBER(Schedule!$H$5:$H$83)*(((Schedule!$E$5:$E$83=A5)*Schedule!$G$5:$G$83)+((Schedule!$F$5:$F$83=A5)*Schedule!$H$5:$H$83)))</f>
        <v>0</v>
      </c>
      <c r="F5" s="4">
        <f>SUMPRODUCT((Schedule!$C$5:$C$83="Open 3.5")*(Schedule!$D$5:$D$83="League")*ISNUMBER(Schedule!$G$5:$G$83)*ISNUMBER(Schedule!$H$5:$H$83)*(((Schedule!$E$5:$E$83=A5)*Schedule!$H$5:$H$83)+((Schedule!$F$5:$F$83=A5)*Schedule!$G$5:$G$83)))</f>
        <v>0</v>
      </c>
      <c r="G5" s="4">
        <f t="shared" ref="G5:G14" si="1">E5-F5</f>
        <v>0</v>
      </c>
      <c r="H5" s="7">
        <f t="shared" ref="H5:H14" si="2">RANK(J5,$J$5:$J$14,0)</f>
        <v>10</v>
      </c>
      <c r="J5">
        <f t="shared" ref="J5:J14" si="3">C5*10000+G5*100+E5+ROW()/1000</f>
        <v>5.0000000000000001E-3</v>
      </c>
    </row>
    <row r="6" spans="1:10" x14ac:dyDescent="0.25">
      <c r="A6" s="7" t="s">
        <v>22</v>
      </c>
      <c r="B6" s="4">
        <f>SUMPRODUCT((Schedule!$C$5:$C$83="Open 3.5")*(Schedule!$D$5:$D$83="League")*ISNUMBER(Schedule!$G$5:$G$83)*ISNUMBER(Schedule!$H$5:$H$83)*((Schedule!$E$5:$E$83=A6)+(Schedule!$F$5:$F$83=A6)))</f>
        <v>0</v>
      </c>
      <c r="C6" s="4">
        <f>SUMPRODUCT((Schedule!$C$5:$C$83="Open 3.5")*(Schedule!$D$5:$D$83="League")*ISNUMBER(Schedule!$G$5:$G$83)*ISNUMBER(Schedule!$H$5:$H$83)*(((Schedule!$E$5:$E$83=A6)*(Schedule!$G$5:$G$83&gt;Schedule!$H$5:$H$83))+((Schedule!$F$5:$F$83=A6)*(Schedule!$H$5:$H$83&gt;Schedule!$G$5:$G$83))))</f>
        <v>0</v>
      </c>
      <c r="D6" s="4">
        <f t="shared" si="0"/>
        <v>0</v>
      </c>
      <c r="E6" s="4">
        <f>SUMPRODUCT((Schedule!$C$5:$C$83="Open 3.5")*(Schedule!$D$5:$D$83="League")*ISNUMBER(Schedule!$G$5:$G$83)*ISNUMBER(Schedule!$H$5:$H$83)*(((Schedule!$E$5:$E$83=A6)*Schedule!$G$5:$G$83)+((Schedule!$F$5:$F$83=A6)*Schedule!$H$5:$H$83)))</f>
        <v>0</v>
      </c>
      <c r="F6" s="4">
        <f>SUMPRODUCT((Schedule!$C$5:$C$83="Open 3.5")*(Schedule!$D$5:$D$83="League")*ISNUMBER(Schedule!$G$5:$G$83)*ISNUMBER(Schedule!$H$5:$H$83)*(((Schedule!$E$5:$E$83=A6)*Schedule!$H$5:$H$83)+((Schedule!$F$5:$F$83=A6)*Schedule!$G$5:$G$83)))</f>
        <v>0</v>
      </c>
      <c r="G6" s="4">
        <f t="shared" si="1"/>
        <v>0</v>
      </c>
      <c r="H6" s="7">
        <f t="shared" si="2"/>
        <v>9</v>
      </c>
      <c r="J6">
        <f t="shared" si="3"/>
        <v>6.0000000000000001E-3</v>
      </c>
    </row>
    <row r="7" spans="1:10" x14ac:dyDescent="0.25">
      <c r="A7" s="7" t="s">
        <v>25</v>
      </c>
      <c r="B7" s="4">
        <f>SUMPRODUCT((Schedule!$C$5:$C$83="Open 3.5")*(Schedule!$D$5:$D$83="League")*ISNUMBER(Schedule!$G$5:$G$83)*ISNUMBER(Schedule!$H$5:$H$83)*((Schedule!$E$5:$E$83=A7)+(Schedule!$F$5:$F$83=A7)))</f>
        <v>0</v>
      </c>
      <c r="C7" s="4">
        <f>SUMPRODUCT((Schedule!$C$5:$C$83="Open 3.5")*(Schedule!$D$5:$D$83="League")*ISNUMBER(Schedule!$G$5:$G$83)*ISNUMBER(Schedule!$H$5:$H$83)*(((Schedule!$E$5:$E$83=A7)*(Schedule!$G$5:$G$83&gt;Schedule!$H$5:$H$83))+((Schedule!$F$5:$F$83=A7)*(Schedule!$H$5:$H$83&gt;Schedule!$G$5:$G$83))))</f>
        <v>0</v>
      </c>
      <c r="D7" s="4">
        <f t="shared" si="0"/>
        <v>0</v>
      </c>
      <c r="E7" s="4">
        <f>SUMPRODUCT((Schedule!$C$5:$C$83="Open 3.5")*(Schedule!$D$5:$D$83="League")*ISNUMBER(Schedule!$G$5:$G$83)*ISNUMBER(Schedule!$H$5:$H$83)*(((Schedule!$E$5:$E$83=A7)*Schedule!$G$5:$G$83)+((Schedule!$F$5:$F$83=A7)*Schedule!$H$5:$H$83)))</f>
        <v>0</v>
      </c>
      <c r="F7" s="4">
        <f>SUMPRODUCT((Schedule!$C$5:$C$83="Open 3.5")*(Schedule!$D$5:$D$83="League")*ISNUMBER(Schedule!$G$5:$G$83)*ISNUMBER(Schedule!$H$5:$H$83)*(((Schedule!$E$5:$E$83=A7)*Schedule!$H$5:$H$83)+((Schedule!$F$5:$F$83=A7)*Schedule!$G$5:$G$83)))</f>
        <v>0</v>
      </c>
      <c r="G7" s="4">
        <f t="shared" si="1"/>
        <v>0</v>
      </c>
      <c r="H7" s="7">
        <f t="shared" si="2"/>
        <v>8</v>
      </c>
      <c r="J7">
        <f t="shared" si="3"/>
        <v>7.0000000000000001E-3</v>
      </c>
    </row>
    <row r="8" spans="1:10" x14ac:dyDescent="0.25">
      <c r="A8" s="7" t="s">
        <v>28</v>
      </c>
      <c r="B8" s="4">
        <f>SUMPRODUCT((Schedule!$C$5:$C$83="Open 3.5")*(Schedule!$D$5:$D$83="League")*ISNUMBER(Schedule!$G$5:$G$83)*ISNUMBER(Schedule!$H$5:$H$83)*((Schedule!$E$5:$E$83=A8)+(Schedule!$F$5:$F$83=A8)))</f>
        <v>0</v>
      </c>
      <c r="C8" s="4">
        <f>SUMPRODUCT((Schedule!$C$5:$C$83="Open 3.5")*(Schedule!$D$5:$D$83="League")*ISNUMBER(Schedule!$G$5:$G$83)*ISNUMBER(Schedule!$H$5:$H$83)*(((Schedule!$E$5:$E$83=A8)*(Schedule!$G$5:$G$83&gt;Schedule!$H$5:$H$83))+((Schedule!$F$5:$F$83=A8)*(Schedule!$H$5:$H$83&gt;Schedule!$G$5:$G$83))))</f>
        <v>0</v>
      </c>
      <c r="D8" s="4">
        <f t="shared" si="0"/>
        <v>0</v>
      </c>
      <c r="E8" s="4">
        <f>SUMPRODUCT((Schedule!$C$5:$C$83="Open 3.5")*(Schedule!$D$5:$D$83="League")*ISNUMBER(Schedule!$G$5:$G$83)*ISNUMBER(Schedule!$H$5:$H$83)*(((Schedule!$E$5:$E$83=A8)*Schedule!$G$5:$G$83)+((Schedule!$F$5:$F$83=A8)*Schedule!$H$5:$H$83)))</f>
        <v>0</v>
      </c>
      <c r="F8" s="4">
        <f>SUMPRODUCT((Schedule!$C$5:$C$83="Open 3.5")*(Schedule!$D$5:$D$83="League")*ISNUMBER(Schedule!$G$5:$G$83)*ISNUMBER(Schedule!$H$5:$H$83)*(((Schedule!$E$5:$E$83=A8)*Schedule!$H$5:$H$83)+((Schedule!$F$5:$F$83=A8)*Schedule!$G$5:$G$83)))</f>
        <v>0</v>
      </c>
      <c r="G8" s="4">
        <f t="shared" si="1"/>
        <v>0</v>
      </c>
      <c r="H8" s="7">
        <f t="shared" si="2"/>
        <v>7</v>
      </c>
      <c r="J8">
        <f t="shared" si="3"/>
        <v>8.0000000000000002E-3</v>
      </c>
    </row>
    <row r="9" spans="1:10" x14ac:dyDescent="0.25">
      <c r="A9" s="7" t="s">
        <v>39</v>
      </c>
      <c r="B9" s="4">
        <f>SUMPRODUCT((Schedule!$C$5:$C$83="Open 3.5")*(Schedule!$D$5:$D$83="League")*ISNUMBER(Schedule!$G$5:$G$83)*ISNUMBER(Schedule!$H$5:$H$83)*((Schedule!$E$5:$E$83=A9)+(Schedule!$F$5:$F$83=A9)))</f>
        <v>0</v>
      </c>
      <c r="C9" s="4">
        <f>SUMPRODUCT((Schedule!$C$5:$C$83="Open 3.5")*(Schedule!$D$5:$D$83="League")*ISNUMBER(Schedule!$G$5:$G$83)*ISNUMBER(Schedule!$H$5:$H$83)*(((Schedule!$E$5:$E$83=A9)*(Schedule!$G$5:$G$83&gt;Schedule!$H$5:$H$83))+((Schedule!$F$5:$F$83=A9)*(Schedule!$H$5:$H$83&gt;Schedule!$G$5:$G$83))))</f>
        <v>0</v>
      </c>
      <c r="D9" s="4">
        <f t="shared" si="0"/>
        <v>0</v>
      </c>
      <c r="E9" s="4">
        <f>SUMPRODUCT((Schedule!$C$5:$C$83="Open 3.5")*(Schedule!$D$5:$D$83="League")*ISNUMBER(Schedule!$G$5:$G$83)*ISNUMBER(Schedule!$H$5:$H$83)*(((Schedule!$E$5:$E$83=A9)*Schedule!$G$5:$G$83)+((Schedule!$F$5:$F$83=A9)*Schedule!$H$5:$H$83)))</f>
        <v>0</v>
      </c>
      <c r="F9" s="4">
        <f>SUMPRODUCT((Schedule!$C$5:$C$83="Open 3.5")*(Schedule!$D$5:$D$83="League")*ISNUMBER(Schedule!$G$5:$G$83)*ISNUMBER(Schedule!$H$5:$H$83)*(((Schedule!$E$5:$E$83=A9)*Schedule!$H$5:$H$83)+((Schedule!$F$5:$F$83=A9)*Schedule!$G$5:$G$83)))</f>
        <v>0</v>
      </c>
      <c r="G9" s="4">
        <f t="shared" si="1"/>
        <v>0</v>
      </c>
      <c r="H9" s="7">
        <f t="shared" si="2"/>
        <v>6</v>
      </c>
      <c r="J9">
        <f t="shared" si="3"/>
        <v>8.9999999999999993E-3</v>
      </c>
    </row>
    <row r="10" spans="1:10" x14ac:dyDescent="0.25">
      <c r="A10" s="7" t="s">
        <v>40</v>
      </c>
      <c r="B10" s="4">
        <f>SUMPRODUCT((Schedule!$C$5:$C$83="Open 3.5")*(Schedule!$D$5:$D$83="League")*ISNUMBER(Schedule!$G$5:$G$83)*ISNUMBER(Schedule!$H$5:$H$83)*((Schedule!$E$5:$E$83=A10)+(Schedule!$F$5:$F$83=A10)))</f>
        <v>0</v>
      </c>
      <c r="C10" s="4">
        <f>SUMPRODUCT((Schedule!$C$5:$C$83="Open 3.5")*(Schedule!$D$5:$D$83="League")*ISNUMBER(Schedule!$G$5:$G$83)*ISNUMBER(Schedule!$H$5:$H$83)*(((Schedule!$E$5:$E$83=A10)*(Schedule!$G$5:$G$83&gt;Schedule!$H$5:$H$83))+((Schedule!$F$5:$F$83=A10)*(Schedule!$H$5:$H$83&gt;Schedule!$G$5:$G$83))))</f>
        <v>0</v>
      </c>
      <c r="D10" s="4">
        <f t="shared" si="0"/>
        <v>0</v>
      </c>
      <c r="E10" s="4">
        <f>SUMPRODUCT((Schedule!$C$5:$C$83="Open 3.5")*(Schedule!$D$5:$D$83="League")*ISNUMBER(Schedule!$G$5:$G$83)*ISNUMBER(Schedule!$H$5:$H$83)*(((Schedule!$E$5:$E$83=A10)*Schedule!$G$5:$G$83)+((Schedule!$F$5:$F$83=A10)*Schedule!$H$5:$H$83)))</f>
        <v>0</v>
      </c>
      <c r="F10" s="4">
        <f>SUMPRODUCT((Schedule!$C$5:$C$83="Open 3.5")*(Schedule!$D$5:$D$83="League")*ISNUMBER(Schedule!$G$5:$G$83)*ISNUMBER(Schedule!$H$5:$H$83)*(((Schedule!$E$5:$E$83=A10)*Schedule!$H$5:$H$83)+((Schedule!$F$5:$F$83=A10)*Schedule!$G$5:$G$83)))</f>
        <v>0</v>
      </c>
      <c r="G10" s="4">
        <f t="shared" si="1"/>
        <v>0</v>
      </c>
      <c r="H10" s="7">
        <f t="shared" si="2"/>
        <v>5</v>
      </c>
      <c r="J10">
        <f t="shared" si="3"/>
        <v>0.01</v>
      </c>
    </row>
    <row r="11" spans="1:10" x14ac:dyDescent="0.25">
      <c r="A11" s="7" t="s">
        <v>29</v>
      </c>
      <c r="B11" s="4">
        <f>SUMPRODUCT((Schedule!$C$5:$C$83="Open 3.5")*(Schedule!$D$5:$D$83="League")*ISNUMBER(Schedule!$G$5:$G$83)*ISNUMBER(Schedule!$H$5:$H$83)*((Schedule!$E$5:$E$83=A11)+(Schedule!$F$5:$F$83=A11)))</f>
        <v>0</v>
      </c>
      <c r="C11" s="4">
        <f>SUMPRODUCT((Schedule!$C$5:$C$83="Open 3.5")*(Schedule!$D$5:$D$83="League")*ISNUMBER(Schedule!$G$5:$G$83)*ISNUMBER(Schedule!$H$5:$H$83)*(((Schedule!$E$5:$E$83=A11)*(Schedule!$G$5:$G$83&gt;Schedule!$H$5:$H$83))+((Schedule!$F$5:$F$83=A11)*(Schedule!$H$5:$H$83&gt;Schedule!$G$5:$G$83))))</f>
        <v>0</v>
      </c>
      <c r="D11" s="4">
        <f t="shared" si="0"/>
        <v>0</v>
      </c>
      <c r="E11" s="4">
        <f>SUMPRODUCT((Schedule!$C$5:$C$83="Open 3.5")*(Schedule!$D$5:$D$83="League")*ISNUMBER(Schedule!$G$5:$G$83)*ISNUMBER(Schedule!$H$5:$H$83)*(((Schedule!$E$5:$E$83=A11)*Schedule!$G$5:$G$83)+((Schedule!$F$5:$F$83=A11)*Schedule!$H$5:$H$83)))</f>
        <v>0</v>
      </c>
      <c r="F11" s="4">
        <f>SUMPRODUCT((Schedule!$C$5:$C$83="Open 3.5")*(Schedule!$D$5:$D$83="League")*ISNUMBER(Schedule!$G$5:$G$83)*ISNUMBER(Schedule!$H$5:$H$83)*(((Schedule!$E$5:$E$83=A11)*Schedule!$H$5:$H$83)+((Schedule!$F$5:$F$83=A11)*Schedule!$G$5:$G$83)))</f>
        <v>0</v>
      </c>
      <c r="G11" s="4">
        <f t="shared" si="1"/>
        <v>0</v>
      </c>
      <c r="H11" s="7">
        <f t="shared" si="2"/>
        <v>4</v>
      </c>
      <c r="J11">
        <f t="shared" si="3"/>
        <v>1.0999999999999999E-2</v>
      </c>
    </row>
    <row r="12" spans="1:10" x14ac:dyDescent="0.25">
      <c r="A12" s="7" t="s">
        <v>26</v>
      </c>
      <c r="B12" s="4">
        <f>SUMPRODUCT((Schedule!$C$5:$C$83="Open 3.5")*(Schedule!$D$5:$D$83="League")*ISNUMBER(Schedule!$G$5:$G$83)*ISNUMBER(Schedule!$H$5:$H$83)*((Schedule!$E$5:$E$83=A12)+(Schedule!$F$5:$F$83=A12)))</f>
        <v>0</v>
      </c>
      <c r="C12" s="4">
        <f>SUMPRODUCT((Schedule!$C$5:$C$83="Open 3.5")*(Schedule!$D$5:$D$83="League")*ISNUMBER(Schedule!$G$5:$G$83)*ISNUMBER(Schedule!$H$5:$H$83)*(((Schedule!$E$5:$E$83=A12)*(Schedule!$G$5:$G$83&gt;Schedule!$H$5:$H$83))+((Schedule!$F$5:$F$83=A12)*(Schedule!$H$5:$H$83&gt;Schedule!$G$5:$G$83))))</f>
        <v>0</v>
      </c>
      <c r="D12" s="4">
        <f t="shared" si="0"/>
        <v>0</v>
      </c>
      <c r="E12" s="4">
        <f>SUMPRODUCT((Schedule!$C$5:$C$83="Open 3.5")*(Schedule!$D$5:$D$83="League")*ISNUMBER(Schedule!$G$5:$G$83)*ISNUMBER(Schedule!$H$5:$H$83)*(((Schedule!$E$5:$E$83=A12)*Schedule!$G$5:$G$83)+((Schedule!$F$5:$F$83=A12)*Schedule!$H$5:$H$83)))</f>
        <v>0</v>
      </c>
      <c r="F12" s="4">
        <f>SUMPRODUCT((Schedule!$C$5:$C$83="Open 3.5")*(Schedule!$D$5:$D$83="League")*ISNUMBER(Schedule!$G$5:$G$83)*ISNUMBER(Schedule!$H$5:$H$83)*(((Schedule!$E$5:$E$83=A12)*Schedule!$H$5:$H$83)+((Schedule!$F$5:$F$83=A12)*Schedule!$G$5:$G$83)))</f>
        <v>0</v>
      </c>
      <c r="G12" s="4">
        <f t="shared" si="1"/>
        <v>0</v>
      </c>
      <c r="H12" s="7">
        <f t="shared" si="2"/>
        <v>3</v>
      </c>
      <c r="J12">
        <f t="shared" si="3"/>
        <v>1.2E-2</v>
      </c>
    </row>
    <row r="13" spans="1:10" x14ac:dyDescent="0.25">
      <c r="A13" s="7" t="s">
        <v>23</v>
      </c>
      <c r="B13" s="4">
        <f>SUMPRODUCT((Schedule!$C$5:$C$83="Open 3.5")*(Schedule!$D$5:$D$83="League")*ISNUMBER(Schedule!$G$5:$G$83)*ISNUMBER(Schedule!$H$5:$H$83)*((Schedule!$E$5:$E$83=A13)+(Schedule!$F$5:$F$83=A13)))</f>
        <v>0</v>
      </c>
      <c r="C13" s="4">
        <f>SUMPRODUCT((Schedule!$C$5:$C$83="Open 3.5")*(Schedule!$D$5:$D$83="League")*ISNUMBER(Schedule!$G$5:$G$83)*ISNUMBER(Schedule!$H$5:$H$83)*(((Schedule!$E$5:$E$83=A13)*(Schedule!$G$5:$G$83&gt;Schedule!$H$5:$H$83))+((Schedule!$F$5:$F$83=A13)*(Schedule!$H$5:$H$83&gt;Schedule!$G$5:$G$83))))</f>
        <v>0</v>
      </c>
      <c r="D13" s="4">
        <f t="shared" si="0"/>
        <v>0</v>
      </c>
      <c r="E13" s="4">
        <f>SUMPRODUCT((Schedule!$C$5:$C$83="Open 3.5")*(Schedule!$D$5:$D$83="League")*ISNUMBER(Schedule!$G$5:$G$83)*ISNUMBER(Schedule!$H$5:$H$83)*(((Schedule!$E$5:$E$83=A13)*Schedule!$G$5:$G$83)+((Schedule!$F$5:$F$83=A13)*Schedule!$H$5:$H$83)))</f>
        <v>0</v>
      </c>
      <c r="F13" s="4">
        <f>SUMPRODUCT((Schedule!$C$5:$C$83="Open 3.5")*(Schedule!$D$5:$D$83="League")*ISNUMBER(Schedule!$G$5:$G$83)*ISNUMBER(Schedule!$H$5:$H$83)*(((Schedule!$E$5:$E$83=A13)*Schedule!$H$5:$H$83)+((Schedule!$F$5:$F$83=A13)*Schedule!$G$5:$G$83)))</f>
        <v>0</v>
      </c>
      <c r="G13" s="4">
        <f t="shared" si="1"/>
        <v>0</v>
      </c>
      <c r="H13" s="7">
        <f t="shared" si="2"/>
        <v>2</v>
      </c>
      <c r="J13">
        <f t="shared" si="3"/>
        <v>1.2999999999999999E-2</v>
      </c>
    </row>
    <row r="14" spans="1:10" x14ac:dyDescent="0.25">
      <c r="A14" s="7" t="s">
        <v>20</v>
      </c>
      <c r="B14" s="4">
        <f>SUMPRODUCT((Schedule!$C$5:$C$83="Open 3.5")*(Schedule!$D$5:$D$83="League")*ISNUMBER(Schedule!$G$5:$G$83)*ISNUMBER(Schedule!$H$5:$H$83)*((Schedule!$E$5:$E$83=A14)+(Schedule!$F$5:$F$83=A14)))</f>
        <v>0</v>
      </c>
      <c r="C14" s="4">
        <f>SUMPRODUCT((Schedule!$C$5:$C$83="Open 3.5")*(Schedule!$D$5:$D$83="League")*ISNUMBER(Schedule!$G$5:$G$83)*ISNUMBER(Schedule!$H$5:$H$83)*(((Schedule!$E$5:$E$83=A14)*(Schedule!$G$5:$G$83&gt;Schedule!$H$5:$H$83))+((Schedule!$F$5:$F$83=A14)*(Schedule!$H$5:$H$83&gt;Schedule!$G$5:$G$83))))</f>
        <v>0</v>
      </c>
      <c r="D14" s="4">
        <f t="shared" si="0"/>
        <v>0</v>
      </c>
      <c r="E14" s="4">
        <f>SUMPRODUCT((Schedule!$C$5:$C$83="Open 3.5")*(Schedule!$D$5:$D$83="League")*ISNUMBER(Schedule!$G$5:$G$83)*ISNUMBER(Schedule!$H$5:$H$83)*(((Schedule!$E$5:$E$83=A14)*Schedule!$G$5:$G$83)+((Schedule!$F$5:$F$83=A14)*Schedule!$H$5:$H$83)))</f>
        <v>0</v>
      </c>
      <c r="F14" s="4">
        <f>SUMPRODUCT((Schedule!$C$5:$C$83="Open 3.5")*(Schedule!$D$5:$D$83="League")*ISNUMBER(Schedule!$G$5:$G$83)*ISNUMBER(Schedule!$H$5:$H$83)*(((Schedule!$E$5:$E$83=A14)*Schedule!$H$5:$H$83)+((Schedule!$F$5:$F$83=A14)*Schedule!$G$5:$G$83)))</f>
        <v>0</v>
      </c>
      <c r="G14" s="4">
        <f t="shared" si="1"/>
        <v>0</v>
      </c>
      <c r="H14" s="7">
        <f t="shared" si="2"/>
        <v>1</v>
      </c>
      <c r="J14">
        <f t="shared" si="3"/>
        <v>1.4E-2</v>
      </c>
    </row>
    <row r="16" spans="1:10" x14ac:dyDescent="0.25">
      <c r="A16" s="12" t="s">
        <v>175</v>
      </c>
    </row>
  </sheetData>
  <conditionalFormatting sqref="A5:H14">
    <cfRule type="expression" dxfId="3" priority="1">
      <formula>$H5&lt;=4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workbookViewId="0"/>
  </sheetViews>
  <sheetFormatPr defaultRowHeight="15" x14ac:dyDescent="0.25"/>
  <cols>
    <col min="1" max="1" width="34" customWidth="1"/>
    <col min="2" max="2" width="9" customWidth="1"/>
    <col min="3" max="4" width="8" customWidth="1"/>
    <col min="5" max="5" width="12" customWidth="1"/>
    <col min="6" max="6" width="14" customWidth="1"/>
    <col min="7" max="8" width="8" customWidth="1"/>
    <col min="10" max="10" width="13" hidden="1" customWidth="1"/>
  </cols>
  <sheetData>
    <row r="1" spans="1:10" ht="16.5" x14ac:dyDescent="0.25">
      <c r="A1" s="11" t="s">
        <v>177</v>
      </c>
    </row>
    <row r="2" spans="1:10" x14ac:dyDescent="0.25">
      <c r="A2" s="2" t="s">
        <v>166</v>
      </c>
    </row>
    <row r="4" spans="1:10" ht="30" x14ac:dyDescent="0.25">
      <c r="A4" s="3" t="s">
        <v>167</v>
      </c>
      <c r="B4" s="3" t="s">
        <v>168</v>
      </c>
      <c r="C4" s="3" t="s">
        <v>169</v>
      </c>
      <c r="D4" s="3" t="s">
        <v>170</v>
      </c>
      <c r="E4" s="3" t="s">
        <v>171</v>
      </c>
      <c r="F4" s="3" t="s">
        <v>172</v>
      </c>
      <c r="G4" s="3" t="s">
        <v>173</v>
      </c>
      <c r="H4" s="3" t="s">
        <v>174</v>
      </c>
    </row>
    <row r="5" spans="1:10" x14ac:dyDescent="0.25">
      <c r="A5" s="7" t="s">
        <v>33</v>
      </c>
      <c r="B5" s="4">
        <f>SUMPRODUCT((Schedule!$C$5:$C$83="Mixed Doubles")*(Schedule!$D$5:$D$83="League")*ISNUMBER(Schedule!$G$5:$G$83)*ISNUMBER(Schedule!$H$5:$H$83)*((Schedule!$E$5:$E$83=A5)+(Schedule!$F$5:$F$83=A5)))</f>
        <v>0</v>
      </c>
      <c r="C5" s="4">
        <f>SUMPRODUCT((Schedule!$C$5:$C$83="Mixed Doubles")*(Schedule!$D$5:$D$83="League")*ISNUMBER(Schedule!$G$5:$G$83)*ISNUMBER(Schedule!$H$5:$H$83)*(((Schedule!$E$5:$E$83=A5)*(Schedule!$G$5:$G$83&gt;Schedule!$H$5:$H$83))+((Schedule!$F$5:$F$83=A5)*(Schedule!$H$5:$H$83&gt;Schedule!$G$5:$G$83))))</f>
        <v>0</v>
      </c>
      <c r="D5" s="4">
        <f t="shared" ref="D5:D10" si="0">B5-C5</f>
        <v>0</v>
      </c>
      <c r="E5" s="4">
        <f>SUMPRODUCT((Schedule!$C$5:$C$83="Mixed Doubles")*(Schedule!$D$5:$D$83="League")*ISNUMBER(Schedule!$G$5:$G$83)*ISNUMBER(Schedule!$H$5:$H$83)*(((Schedule!$E$5:$E$83=A5)*Schedule!$G$5:$G$83)+((Schedule!$F$5:$F$83=A5)*Schedule!$H$5:$H$83)))</f>
        <v>0</v>
      </c>
      <c r="F5" s="4">
        <f>SUMPRODUCT((Schedule!$C$5:$C$83="Mixed Doubles")*(Schedule!$D$5:$D$83="League")*ISNUMBER(Schedule!$G$5:$G$83)*ISNUMBER(Schedule!$H$5:$H$83)*(((Schedule!$E$5:$E$83=A5)*Schedule!$H$5:$H$83)+((Schedule!$F$5:$F$83=A5)*Schedule!$G$5:$G$83)))</f>
        <v>0</v>
      </c>
      <c r="G5" s="4">
        <f t="shared" ref="G5:G10" si="1">E5-F5</f>
        <v>0</v>
      </c>
      <c r="H5" s="7">
        <f t="shared" ref="H5:H10" si="2">RANK(J5,$J$5:$J$10,0)</f>
        <v>6</v>
      </c>
      <c r="J5">
        <f t="shared" ref="J5:J10" si="3">C5*10000+G5*100+E5+ROW()/1000</f>
        <v>5.0000000000000001E-3</v>
      </c>
    </row>
    <row r="6" spans="1:10" x14ac:dyDescent="0.25">
      <c r="A6" s="7" t="s">
        <v>89</v>
      </c>
      <c r="B6" s="4">
        <f>SUMPRODUCT((Schedule!$C$5:$C$83="Mixed Doubles")*(Schedule!$D$5:$D$83="League")*ISNUMBER(Schedule!$G$5:$G$83)*ISNUMBER(Schedule!$H$5:$H$83)*((Schedule!$E$5:$E$83=A6)+(Schedule!$F$5:$F$83=A6)))</f>
        <v>0</v>
      </c>
      <c r="C6" s="4">
        <f>SUMPRODUCT((Schedule!$C$5:$C$83="Mixed Doubles")*(Schedule!$D$5:$D$83="League")*ISNUMBER(Schedule!$G$5:$G$83)*ISNUMBER(Schedule!$H$5:$H$83)*(((Schedule!$E$5:$E$83=A6)*(Schedule!$G$5:$G$83&gt;Schedule!$H$5:$H$83))+((Schedule!$F$5:$F$83=A6)*(Schedule!$H$5:$H$83&gt;Schedule!$G$5:$G$83))))</f>
        <v>0</v>
      </c>
      <c r="D6" s="4">
        <f t="shared" si="0"/>
        <v>0</v>
      </c>
      <c r="E6" s="4">
        <f>SUMPRODUCT((Schedule!$C$5:$C$83="Mixed Doubles")*(Schedule!$D$5:$D$83="League")*ISNUMBER(Schedule!$G$5:$G$83)*ISNUMBER(Schedule!$H$5:$H$83)*(((Schedule!$E$5:$E$83=A6)*Schedule!$G$5:$G$83)+((Schedule!$F$5:$F$83=A6)*Schedule!$H$5:$H$83)))</f>
        <v>0</v>
      </c>
      <c r="F6" s="4">
        <f>SUMPRODUCT((Schedule!$C$5:$C$83="Mixed Doubles")*(Schedule!$D$5:$D$83="League")*ISNUMBER(Schedule!$G$5:$G$83)*ISNUMBER(Schedule!$H$5:$H$83)*(((Schedule!$E$5:$E$83=A6)*Schedule!$H$5:$H$83)+((Schedule!$F$5:$F$83=A6)*Schedule!$G$5:$G$83)))</f>
        <v>0</v>
      </c>
      <c r="G6" s="4">
        <f t="shared" si="1"/>
        <v>0</v>
      </c>
      <c r="H6" s="7">
        <f t="shared" si="2"/>
        <v>5</v>
      </c>
      <c r="J6">
        <f t="shared" si="3"/>
        <v>6.0000000000000001E-3</v>
      </c>
    </row>
    <row r="7" spans="1:10" x14ac:dyDescent="0.25">
      <c r="A7" s="7" t="s">
        <v>95</v>
      </c>
      <c r="B7" s="4">
        <f>SUMPRODUCT((Schedule!$C$5:$C$83="Mixed Doubles")*(Schedule!$D$5:$D$83="League")*ISNUMBER(Schedule!$G$5:$G$83)*ISNUMBER(Schedule!$H$5:$H$83)*((Schedule!$E$5:$E$83=A7)+(Schedule!$F$5:$F$83=A7)))</f>
        <v>0</v>
      </c>
      <c r="C7" s="4">
        <f>SUMPRODUCT((Schedule!$C$5:$C$83="Mixed Doubles")*(Schedule!$D$5:$D$83="League")*ISNUMBER(Schedule!$G$5:$G$83)*ISNUMBER(Schedule!$H$5:$H$83)*(((Schedule!$E$5:$E$83=A7)*(Schedule!$G$5:$G$83&gt;Schedule!$H$5:$H$83))+((Schedule!$F$5:$F$83=A7)*(Schedule!$H$5:$H$83&gt;Schedule!$G$5:$G$83))))</f>
        <v>0</v>
      </c>
      <c r="D7" s="4">
        <f t="shared" si="0"/>
        <v>0</v>
      </c>
      <c r="E7" s="4">
        <f>SUMPRODUCT((Schedule!$C$5:$C$83="Mixed Doubles")*(Schedule!$D$5:$D$83="League")*ISNUMBER(Schedule!$G$5:$G$83)*ISNUMBER(Schedule!$H$5:$H$83)*(((Schedule!$E$5:$E$83=A7)*Schedule!$G$5:$G$83)+((Schedule!$F$5:$F$83=A7)*Schedule!$H$5:$H$83)))</f>
        <v>0</v>
      </c>
      <c r="F7" s="4">
        <f>SUMPRODUCT((Schedule!$C$5:$C$83="Mixed Doubles")*(Schedule!$D$5:$D$83="League")*ISNUMBER(Schedule!$G$5:$G$83)*ISNUMBER(Schedule!$H$5:$H$83)*(((Schedule!$E$5:$E$83=A7)*Schedule!$H$5:$H$83)+((Schedule!$F$5:$F$83=A7)*Schedule!$G$5:$G$83)))</f>
        <v>0</v>
      </c>
      <c r="G7" s="4">
        <f t="shared" si="1"/>
        <v>0</v>
      </c>
      <c r="H7" s="7">
        <f t="shared" si="2"/>
        <v>4</v>
      </c>
      <c r="J7">
        <f t="shared" si="3"/>
        <v>7.0000000000000001E-3</v>
      </c>
    </row>
    <row r="8" spans="1:10" x14ac:dyDescent="0.25">
      <c r="A8" s="7" t="s">
        <v>36</v>
      </c>
      <c r="B8" s="4">
        <f>SUMPRODUCT((Schedule!$C$5:$C$83="Mixed Doubles")*(Schedule!$D$5:$D$83="League")*ISNUMBER(Schedule!$G$5:$G$83)*ISNUMBER(Schedule!$H$5:$H$83)*((Schedule!$E$5:$E$83=A8)+(Schedule!$F$5:$F$83=A8)))</f>
        <v>0</v>
      </c>
      <c r="C8" s="4">
        <f>SUMPRODUCT((Schedule!$C$5:$C$83="Mixed Doubles")*(Schedule!$D$5:$D$83="League")*ISNUMBER(Schedule!$G$5:$G$83)*ISNUMBER(Schedule!$H$5:$H$83)*(((Schedule!$E$5:$E$83=A8)*(Schedule!$G$5:$G$83&gt;Schedule!$H$5:$H$83))+((Schedule!$F$5:$F$83=A8)*(Schedule!$H$5:$H$83&gt;Schedule!$G$5:$G$83))))</f>
        <v>0</v>
      </c>
      <c r="D8" s="4">
        <f t="shared" si="0"/>
        <v>0</v>
      </c>
      <c r="E8" s="4">
        <f>SUMPRODUCT((Schedule!$C$5:$C$83="Mixed Doubles")*(Schedule!$D$5:$D$83="League")*ISNUMBER(Schedule!$G$5:$G$83)*ISNUMBER(Schedule!$H$5:$H$83)*(((Schedule!$E$5:$E$83=A8)*Schedule!$G$5:$G$83)+((Schedule!$F$5:$F$83=A8)*Schedule!$H$5:$H$83)))</f>
        <v>0</v>
      </c>
      <c r="F8" s="4">
        <f>SUMPRODUCT((Schedule!$C$5:$C$83="Mixed Doubles")*(Schedule!$D$5:$D$83="League")*ISNUMBER(Schedule!$G$5:$G$83)*ISNUMBER(Schedule!$H$5:$H$83)*(((Schedule!$E$5:$E$83=A8)*Schedule!$H$5:$H$83)+((Schedule!$F$5:$F$83=A8)*Schedule!$G$5:$G$83)))</f>
        <v>0</v>
      </c>
      <c r="G8" s="4">
        <f t="shared" si="1"/>
        <v>0</v>
      </c>
      <c r="H8" s="7">
        <f t="shared" si="2"/>
        <v>3</v>
      </c>
      <c r="J8">
        <f t="shared" si="3"/>
        <v>8.0000000000000002E-3</v>
      </c>
    </row>
    <row r="9" spans="1:10" x14ac:dyDescent="0.25">
      <c r="A9" s="7" t="s">
        <v>90</v>
      </c>
      <c r="B9" s="4">
        <f>SUMPRODUCT((Schedule!$C$5:$C$83="Mixed Doubles")*(Schedule!$D$5:$D$83="League")*ISNUMBER(Schedule!$G$5:$G$83)*ISNUMBER(Schedule!$H$5:$H$83)*((Schedule!$E$5:$E$83=A9)+(Schedule!$F$5:$F$83=A9)))</f>
        <v>0</v>
      </c>
      <c r="C9" s="4">
        <f>SUMPRODUCT((Schedule!$C$5:$C$83="Mixed Doubles")*(Schedule!$D$5:$D$83="League")*ISNUMBER(Schedule!$G$5:$G$83)*ISNUMBER(Schedule!$H$5:$H$83)*(((Schedule!$E$5:$E$83=A9)*(Schedule!$G$5:$G$83&gt;Schedule!$H$5:$H$83))+((Schedule!$F$5:$F$83=A9)*(Schedule!$H$5:$H$83&gt;Schedule!$G$5:$G$83))))</f>
        <v>0</v>
      </c>
      <c r="D9" s="4">
        <f t="shared" si="0"/>
        <v>0</v>
      </c>
      <c r="E9" s="4">
        <f>SUMPRODUCT((Schedule!$C$5:$C$83="Mixed Doubles")*(Schedule!$D$5:$D$83="League")*ISNUMBER(Schedule!$G$5:$G$83)*ISNUMBER(Schedule!$H$5:$H$83)*(((Schedule!$E$5:$E$83=A9)*Schedule!$G$5:$G$83)+((Schedule!$F$5:$F$83=A9)*Schedule!$H$5:$H$83)))</f>
        <v>0</v>
      </c>
      <c r="F9" s="4">
        <f>SUMPRODUCT((Schedule!$C$5:$C$83="Mixed Doubles")*(Schedule!$D$5:$D$83="League")*ISNUMBER(Schedule!$G$5:$G$83)*ISNUMBER(Schedule!$H$5:$H$83)*(((Schedule!$E$5:$E$83=A9)*Schedule!$H$5:$H$83)+((Schedule!$F$5:$F$83=A9)*Schedule!$G$5:$G$83)))</f>
        <v>0</v>
      </c>
      <c r="G9" s="4">
        <f t="shared" si="1"/>
        <v>0</v>
      </c>
      <c r="H9" s="7">
        <f t="shared" si="2"/>
        <v>2</v>
      </c>
      <c r="J9">
        <f t="shared" si="3"/>
        <v>8.9999999999999993E-3</v>
      </c>
    </row>
    <row r="10" spans="1:10" x14ac:dyDescent="0.25">
      <c r="A10" s="7" t="s">
        <v>103</v>
      </c>
      <c r="B10" s="4">
        <f>SUMPRODUCT((Schedule!$C$5:$C$83="Mixed Doubles")*(Schedule!$D$5:$D$83="League")*ISNUMBER(Schedule!$G$5:$G$83)*ISNUMBER(Schedule!$H$5:$H$83)*((Schedule!$E$5:$E$83=A10)+(Schedule!$F$5:$F$83=A10)))</f>
        <v>0</v>
      </c>
      <c r="C10" s="4">
        <f>SUMPRODUCT((Schedule!$C$5:$C$83="Mixed Doubles")*(Schedule!$D$5:$D$83="League")*ISNUMBER(Schedule!$G$5:$G$83)*ISNUMBER(Schedule!$H$5:$H$83)*(((Schedule!$E$5:$E$83=A10)*(Schedule!$G$5:$G$83&gt;Schedule!$H$5:$H$83))+((Schedule!$F$5:$F$83=A10)*(Schedule!$H$5:$H$83&gt;Schedule!$G$5:$G$83))))</f>
        <v>0</v>
      </c>
      <c r="D10" s="4">
        <f t="shared" si="0"/>
        <v>0</v>
      </c>
      <c r="E10" s="4">
        <f>SUMPRODUCT((Schedule!$C$5:$C$83="Mixed Doubles")*(Schedule!$D$5:$D$83="League")*ISNUMBER(Schedule!$G$5:$G$83)*ISNUMBER(Schedule!$H$5:$H$83)*(((Schedule!$E$5:$E$83=A10)*Schedule!$G$5:$G$83)+((Schedule!$F$5:$F$83=A10)*Schedule!$H$5:$H$83)))</f>
        <v>0</v>
      </c>
      <c r="F10" s="4">
        <f>SUMPRODUCT((Schedule!$C$5:$C$83="Mixed Doubles")*(Schedule!$D$5:$D$83="League")*ISNUMBER(Schedule!$G$5:$G$83)*ISNUMBER(Schedule!$H$5:$H$83)*(((Schedule!$E$5:$E$83=A10)*Schedule!$H$5:$H$83)+((Schedule!$F$5:$F$83=A10)*Schedule!$G$5:$G$83)))</f>
        <v>0</v>
      </c>
      <c r="G10" s="4">
        <f t="shared" si="1"/>
        <v>0</v>
      </c>
      <c r="H10" s="7">
        <f t="shared" si="2"/>
        <v>1</v>
      </c>
      <c r="J10">
        <f t="shared" si="3"/>
        <v>0.01</v>
      </c>
    </row>
    <row r="12" spans="1:10" x14ac:dyDescent="0.25">
      <c r="A12" s="12" t="s">
        <v>175</v>
      </c>
    </row>
  </sheetData>
  <conditionalFormatting sqref="A5:H10">
    <cfRule type="expression" dxfId="2" priority="1">
      <formula>$H5&lt;=4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workbookViewId="0"/>
  </sheetViews>
  <sheetFormatPr defaultRowHeight="15" x14ac:dyDescent="0.25"/>
  <cols>
    <col min="1" max="1" width="34" customWidth="1"/>
    <col min="2" max="2" width="9" customWidth="1"/>
    <col min="3" max="4" width="8" customWidth="1"/>
    <col min="5" max="5" width="12" customWidth="1"/>
    <col min="6" max="6" width="14" customWidth="1"/>
    <col min="7" max="8" width="8" customWidth="1"/>
    <col min="10" max="10" width="13" hidden="1" customWidth="1"/>
  </cols>
  <sheetData>
    <row r="1" spans="1:10" ht="16.5" x14ac:dyDescent="0.25">
      <c r="A1" s="11" t="s">
        <v>178</v>
      </c>
    </row>
    <row r="2" spans="1:10" x14ac:dyDescent="0.25">
      <c r="A2" s="2" t="s">
        <v>166</v>
      </c>
    </row>
    <row r="4" spans="1:10" ht="30" x14ac:dyDescent="0.25">
      <c r="A4" s="3" t="s">
        <v>167</v>
      </c>
      <c r="B4" s="3" t="s">
        <v>168</v>
      </c>
      <c r="C4" s="3" t="s">
        <v>169</v>
      </c>
      <c r="D4" s="3" t="s">
        <v>170</v>
      </c>
      <c r="E4" s="3" t="s">
        <v>171</v>
      </c>
      <c r="F4" s="3" t="s">
        <v>172</v>
      </c>
      <c r="G4" s="3" t="s">
        <v>173</v>
      </c>
      <c r="H4" s="3" t="s">
        <v>174</v>
      </c>
    </row>
    <row r="5" spans="1:10" x14ac:dyDescent="0.25">
      <c r="A5" s="7" t="s">
        <v>133</v>
      </c>
      <c r="B5" s="4">
        <f>SUMPRODUCT((Schedule!$C$5:$C$83="Open 4.0")*(Schedule!$D$5:$D$83="League")*ISNUMBER(Schedule!$G$5:$G$83)*ISNUMBER(Schedule!$H$5:$H$83)*((Schedule!$E$5:$E$83=A5)+(Schedule!$F$5:$F$83=A5)))</f>
        <v>0</v>
      </c>
      <c r="C5" s="4">
        <f>SUMPRODUCT((Schedule!$C$5:$C$83="Open 4.0")*(Schedule!$D$5:$D$83="League")*ISNUMBER(Schedule!$G$5:$G$83)*ISNUMBER(Schedule!$H$5:$H$83)*(((Schedule!$E$5:$E$83=A5)*(Schedule!$G$5:$G$83&gt;Schedule!$H$5:$H$83))+((Schedule!$F$5:$F$83=A5)*(Schedule!$H$5:$H$83&gt;Schedule!$G$5:$G$83))))</f>
        <v>0</v>
      </c>
      <c r="D5" s="4">
        <f t="shared" ref="D5:D12" si="0">B5-C5</f>
        <v>0</v>
      </c>
      <c r="E5" s="4">
        <f>SUMPRODUCT((Schedule!$C$5:$C$83="Open 4.0")*(Schedule!$D$5:$D$83="League")*ISNUMBER(Schedule!$G$5:$G$83)*ISNUMBER(Schedule!$H$5:$H$83)*(((Schedule!$E$5:$E$83=A5)*Schedule!$G$5:$G$83)+((Schedule!$F$5:$F$83=A5)*Schedule!$H$5:$H$83)))</f>
        <v>0</v>
      </c>
      <c r="F5" s="4">
        <f>SUMPRODUCT((Schedule!$C$5:$C$83="Open 4.0")*(Schedule!$D$5:$D$83="League")*ISNUMBER(Schedule!$G$5:$G$83)*ISNUMBER(Schedule!$H$5:$H$83)*(((Schedule!$E$5:$E$83=A5)*Schedule!$H$5:$H$83)+((Schedule!$F$5:$F$83=A5)*Schedule!$G$5:$G$83)))</f>
        <v>0</v>
      </c>
      <c r="G5" s="4">
        <f t="shared" ref="G5:G12" si="1">E5-F5</f>
        <v>0</v>
      </c>
      <c r="H5" s="7">
        <f t="shared" ref="H5:H12" si="2">RANK(J5,$J$5:$J$12,0)</f>
        <v>8</v>
      </c>
      <c r="J5">
        <f t="shared" ref="J5:J12" si="3">C5*10000+G5*100+E5+ROW()/1000</f>
        <v>5.0000000000000001E-3</v>
      </c>
    </row>
    <row r="6" spans="1:10" x14ac:dyDescent="0.25">
      <c r="A6" s="7" t="s">
        <v>136</v>
      </c>
      <c r="B6" s="4">
        <f>SUMPRODUCT((Schedule!$C$5:$C$83="Open 4.0")*(Schedule!$D$5:$D$83="League")*ISNUMBER(Schedule!$G$5:$G$83)*ISNUMBER(Schedule!$H$5:$H$83)*((Schedule!$E$5:$E$83=A6)+(Schedule!$F$5:$F$83=A6)))</f>
        <v>0</v>
      </c>
      <c r="C6" s="4">
        <f>SUMPRODUCT((Schedule!$C$5:$C$83="Open 4.0")*(Schedule!$D$5:$D$83="League")*ISNUMBER(Schedule!$G$5:$G$83)*ISNUMBER(Schedule!$H$5:$H$83)*(((Schedule!$E$5:$E$83=A6)*(Schedule!$G$5:$G$83&gt;Schedule!$H$5:$H$83))+((Schedule!$F$5:$F$83=A6)*(Schedule!$H$5:$H$83&gt;Schedule!$G$5:$G$83))))</f>
        <v>0</v>
      </c>
      <c r="D6" s="4">
        <f t="shared" si="0"/>
        <v>0</v>
      </c>
      <c r="E6" s="4">
        <f>SUMPRODUCT((Schedule!$C$5:$C$83="Open 4.0")*(Schedule!$D$5:$D$83="League")*ISNUMBER(Schedule!$G$5:$G$83)*ISNUMBER(Schedule!$H$5:$H$83)*(((Schedule!$E$5:$E$83=A6)*Schedule!$G$5:$G$83)+((Schedule!$F$5:$F$83=A6)*Schedule!$H$5:$H$83)))</f>
        <v>0</v>
      </c>
      <c r="F6" s="4">
        <f>SUMPRODUCT((Schedule!$C$5:$C$83="Open 4.0")*(Schedule!$D$5:$D$83="League")*ISNUMBER(Schedule!$G$5:$G$83)*ISNUMBER(Schedule!$H$5:$H$83)*(((Schedule!$E$5:$E$83=A6)*Schedule!$H$5:$H$83)+((Schedule!$F$5:$F$83=A6)*Schedule!$G$5:$G$83)))</f>
        <v>0</v>
      </c>
      <c r="G6" s="4">
        <f t="shared" si="1"/>
        <v>0</v>
      </c>
      <c r="H6" s="7">
        <f t="shared" si="2"/>
        <v>7</v>
      </c>
      <c r="J6">
        <f t="shared" si="3"/>
        <v>6.0000000000000001E-3</v>
      </c>
    </row>
    <row r="7" spans="1:10" x14ac:dyDescent="0.25">
      <c r="A7" s="7" t="s">
        <v>138</v>
      </c>
      <c r="B7" s="4">
        <f>SUMPRODUCT((Schedule!$C$5:$C$83="Open 4.0")*(Schedule!$D$5:$D$83="League")*ISNUMBER(Schedule!$G$5:$G$83)*ISNUMBER(Schedule!$H$5:$H$83)*((Schedule!$E$5:$E$83=A7)+(Schedule!$F$5:$F$83=A7)))</f>
        <v>0</v>
      </c>
      <c r="C7" s="4">
        <f>SUMPRODUCT((Schedule!$C$5:$C$83="Open 4.0")*(Schedule!$D$5:$D$83="League")*ISNUMBER(Schedule!$G$5:$G$83)*ISNUMBER(Schedule!$H$5:$H$83)*(((Schedule!$E$5:$E$83=A7)*(Schedule!$G$5:$G$83&gt;Schedule!$H$5:$H$83))+((Schedule!$F$5:$F$83=A7)*(Schedule!$H$5:$H$83&gt;Schedule!$G$5:$G$83))))</f>
        <v>0</v>
      </c>
      <c r="D7" s="4">
        <f t="shared" si="0"/>
        <v>0</v>
      </c>
      <c r="E7" s="4">
        <f>SUMPRODUCT((Schedule!$C$5:$C$83="Open 4.0")*(Schedule!$D$5:$D$83="League")*ISNUMBER(Schedule!$G$5:$G$83)*ISNUMBER(Schedule!$H$5:$H$83)*(((Schedule!$E$5:$E$83=A7)*Schedule!$G$5:$G$83)+((Schedule!$F$5:$F$83=A7)*Schedule!$H$5:$H$83)))</f>
        <v>0</v>
      </c>
      <c r="F7" s="4">
        <f>SUMPRODUCT((Schedule!$C$5:$C$83="Open 4.0")*(Schedule!$D$5:$D$83="League")*ISNUMBER(Schedule!$G$5:$G$83)*ISNUMBER(Schedule!$H$5:$H$83)*(((Schedule!$E$5:$E$83=A7)*Schedule!$H$5:$H$83)+((Schedule!$F$5:$F$83=A7)*Schedule!$G$5:$G$83)))</f>
        <v>0</v>
      </c>
      <c r="G7" s="4">
        <f t="shared" si="1"/>
        <v>0</v>
      </c>
      <c r="H7" s="7">
        <f t="shared" si="2"/>
        <v>6</v>
      </c>
      <c r="J7">
        <f t="shared" si="3"/>
        <v>7.0000000000000001E-3</v>
      </c>
    </row>
    <row r="8" spans="1:10" x14ac:dyDescent="0.25">
      <c r="A8" s="7" t="s">
        <v>141</v>
      </c>
      <c r="B8" s="4">
        <f>SUMPRODUCT((Schedule!$C$5:$C$83="Open 4.0")*(Schedule!$D$5:$D$83="League")*ISNUMBER(Schedule!$G$5:$G$83)*ISNUMBER(Schedule!$H$5:$H$83)*((Schedule!$E$5:$E$83=A8)+(Schedule!$F$5:$F$83=A8)))</f>
        <v>0</v>
      </c>
      <c r="C8" s="4">
        <f>SUMPRODUCT((Schedule!$C$5:$C$83="Open 4.0")*(Schedule!$D$5:$D$83="League")*ISNUMBER(Schedule!$G$5:$G$83)*ISNUMBER(Schedule!$H$5:$H$83)*(((Schedule!$E$5:$E$83=A8)*(Schedule!$G$5:$G$83&gt;Schedule!$H$5:$H$83))+((Schedule!$F$5:$F$83=A8)*(Schedule!$H$5:$H$83&gt;Schedule!$G$5:$G$83))))</f>
        <v>0</v>
      </c>
      <c r="D8" s="4">
        <f t="shared" si="0"/>
        <v>0</v>
      </c>
      <c r="E8" s="4">
        <f>SUMPRODUCT((Schedule!$C$5:$C$83="Open 4.0")*(Schedule!$D$5:$D$83="League")*ISNUMBER(Schedule!$G$5:$G$83)*ISNUMBER(Schedule!$H$5:$H$83)*(((Schedule!$E$5:$E$83=A8)*Schedule!$G$5:$G$83)+((Schedule!$F$5:$F$83=A8)*Schedule!$H$5:$H$83)))</f>
        <v>0</v>
      </c>
      <c r="F8" s="4">
        <f>SUMPRODUCT((Schedule!$C$5:$C$83="Open 4.0")*(Schedule!$D$5:$D$83="League")*ISNUMBER(Schedule!$G$5:$G$83)*ISNUMBER(Schedule!$H$5:$H$83)*(((Schedule!$E$5:$E$83=A8)*Schedule!$H$5:$H$83)+((Schedule!$F$5:$F$83=A8)*Schedule!$G$5:$G$83)))</f>
        <v>0</v>
      </c>
      <c r="G8" s="4">
        <f t="shared" si="1"/>
        <v>0</v>
      </c>
      <c r="H8" s="7">
        <f t="shared" si="2"/>
        <v>5</v>
      </c>
      <c r="J8">
        <f t="shared" si="3"/>
        <v>8.0000000000000002E-3</v>
      </c>
    </row>
    <row r="9" spans="1:10" x14ac:dyDescent="0.25">
      <c r="A9" s="7" t="s">
        <v>142</v>
      </c>
      <c r="B9" s="4">
        <f>SUMPRODUCT((Schedule!$C$5:$C$83="Open 4.0")*(Schedule!$D$5:$D$83="League")*ISNUMBER(Schedule!$G$5:$G$83)*ISNUMBER(Schedule!$H$5:$H$83)*((Schedule!$E$5:$E$83=A9)+(Schedule!$F$5:$F$83=A9)))</f>
        <v>0</v>
      </c>
      <c r="C9" s="4">
        <f>SUMPRODUCT((Schedule!$C$5:$C$83="Open 4.0")*(Schedule!$D$5:$D$83="League")*ISNUMBER(Schedule!$G$5:$G$83)*ISNUMBER(Schedule!$H$5:$H$83)*(((Schedule!$E$5:$E$83=A9)*(Schedule!$G$5:$G$83&gt;Schedule!$H$5:$H$83))+((Schedule!$F$5:$F$83=A9)*(Schedule!$H$5:$H$83&gt;Schedule!$G$5:$G$83))))</f>
        <v>0</v>
      </c>
      <c r="D9" s="4">
        <f t="shared" si="0"/>
        <v>0</v>
      </c>
      <c r="E9" s="4">
        <f>SUMPRODUCT((Schedule!$C$5:$C$83="Open 4.0")*(Schedule!$D$5:$D$83="League")*ISNUMBER(Schedule!$G$5:$G$83)*ISNUMBER(Schedule!$H$5:$H$83)*(((Schedule!$E$5:$E$83=A9)*Schedule!$G$5:$G$83)+((Schedule!$F$5:$F$83=A9)*Schedule!$H$5:$H$83)))</f>
        <v>0</v>
      </c>
      <c r="F9" s="4">
        <f>SUMPRODUCT((Schedule!$C$5:$C$83="Open 4.0")*(Schedule!$D$5:$D$83="League")*ISNUMBER(Schedule!$G$5:$G$83)*ISNUMBER(Schedule!$H$5:$H$83)*(((Schedule!$E$5:$E$83=A9)*Schedule!$H$5:$H$83)+((Schedule!$F$5:$F$83=A9)*Schedule!$G$5:$G$83)))</f>
        <v>0</v>
      </c>
      <c r="G9" s="4">
        <f t="shared" si="1"/>
        <v>0</v>
      </c>
      <c r="H9" s="7">
        <f t="shared" si="2"/>
        <v>4</v>
      </c>
      <c r="J9">
        <f t="shared" si="3"/>
        <v>8.9999999999999993E-3</v>
      </c>
    </row>
    <row r="10" spans="1:10" x14ac:dyDescent="0.25">
      <c r="A10" s="7" t="s">
        <v>139</v>
      </c>
      <c r="B10" s="4">
        <f>SUMPRODUCT((Schedule!$C$5:$C$83="Open 4.0")*(Schedule!$D$5:$D$83="League")*ISNUMBER(Schedule!$G$5:$G$83)*ISNUMBER(Schedule!$H$5:$H$83)*((Schedule!$E$5:$E$83=A10)+(Schedule!$F$5:$F$83=A10)))</f>
        <v>0</v>
      </c>
      <c r="C10" s="4">
        <f>SUMPRODUCT((Schedule!$C$5:$C$83="Open 4.0")*(Schedule!$D$5:$D$83="League")*ISNUMBER(Schedule!$G$5:$G$83)*ISNUMBER(Schedule!$H$5:$H$83)*(((Schedule!$E$5:$E$83=A10)*(Schedule!$G$5:$G$83&gt;Schedule!$H$5:$H$83))+((Schedule!$F$5:$F$83=A10)*(Schedule!$H$5:$H$83&gt;Schedule!$G$5:$G$83))))</f>
        <v>0</v>
      </c>
      <c r="D10" s="4">
        <f t="shared" si="0"/>
        <v>0</v>
      </c>
      <c r="E10" s="4">
        <f>SUMPRODUCT((Schedule!$C$5:$C$83="Open 4.0")*(Schedule!$D$5:$D$83="League")*ISNUMBER(Schedule!$G$5:$G$83)*ISNUMBER(Schedule!$H$5:$H$83)*(((Schedule!$E$5:$E$83=A10)*Schedule!$G$5:$G$83)+((Schedule!$F$5:$F$83=A10)*Schedule!$H$5:$H$83)))</f>
        <v>0</v>
      </c>
      <c r="F10" s="4">
        <f>SUMPRODUCT((Schedule!$C$5:$C$83="Open 4.0")*(Schedule!$D$5:$D$83="League")*ISNUMBER(Schedule!$G$5:$G$83)*ISNUMBER(Schedule!$H$5:$H$83)*(((Schedule!$E$5:$E$83=A10)*Schedule!$H$5:$H$83)+((Schedule!$F$5:$F$83=A10)*Schedule!$G$5:$G$83)))</f>
        <v>0</v>
      </c>
      <c r="G10" s="4">
        <f t="shared" si="1"/>
        <v>0</v>
      </c>
      <c r="H10" s="7">
        <f t="shared" si="2"/>
        <v>3</v>
      </c>
      <c r="J10">
        <f t="shared" si="3"/>
        <v>0.01</v>
      </c>
    </row>
    <row r="11" spans="1:10" x14ac:dyDescent="0.25">
      <c r="A11" s="7" t="s">
        <v>90</v>
      </c>
      <c r="B11" s="4">
        <f>SUMPRODUCT((Schedule!$C$5:$C$83="Open 4.0")*(Schedule!$D$5:$D$83="League")*ISNUMBER(Schedule!$G$5:$G$83)*ISNUMBER(Schedule!$H$5:$H$83)*((Schedule!$E$5:$E$83=A11)+(Schedule!$F$5:$F$83=A11)))</f>
        <v>0</v>
      </c>
      <c r="C11" s="4">
        <f>SUMPRODUCT((Schedule!$C$5:$C$83="Open 4.0")*(Schedule!$D$5:$D$83="League")*ISNUMBER(Schedule!$G$5:$G$83)*ISNUMBER(Schedule!$H$5:$H$83)*(((Schedule!$E$5:$E$83=A11)*(Schedule!$G$5:$G$83&gt;Schedule!$H$5:$H$83))+((Schedule!$F$5:$F$83=A11)*(Schedule!$H$5:$H$83&gt;Schedule!$G$5:$G$83))))</f>
        <v>0</v>
      </c>
      <c r="D11" s="4">
        <f t="shared" si="0"/>
        <v>0</v>
      </c>
      <c r="E11" s="4">
        <f>SUMPRODUCT((Schedule!$C$5:$C$83="Open 4.0")*(Schedule!$D$5:$D$83="League")*ISNUMBER(Schedule!$G$5:$G$83)*ISNUMBER(Schedule!$H$5:$H$83)*(((Schedule!$E$5:$E$83=A11)*Schedule!$G$5:$G$83)+((Schedule!$F$5:$F$83=A11)*Schedule!$H$5:$H$83)))</f>
        <v>0</v>
      </c>
      <c r="F11" s="4">
        <f>SUMPRODUCT((Schedule!$C$5:$C$83="Open 4.0")*(Schedule!$D$5:$D$83="League")*ISNUMBER(Schedule!$G$5:$G$83)*ISNUMBER(Schedule!$H$5:$H$83)*(((Schedule!$E$5:$E$83=A11)*Schedule!$H$5:$H$83)+((Schedule!$F$5:$F$83=A11)*Schedule!$G$5:$G$83)))</f>
        <v>0</v>
      </c>
      <c r="G11" s="4">
        <f t="shared" si="1"/>
        <v>0</v>
      </c>
      <c r="H11" s="7">
        <f t="shared" si="2"/>
        <v>2</v>
      </c>
      <c r="J11">
        <f t="shared" si="3"/>
        <v>1.0999999999999999E-2</v>
      </c>
    </row>
    <row r="12" spans="1:10" x14ac:dyDescent="0.25">
      <c r="A12" s="7" t="s">
        <v>134</v>
      </c>
      <c r="B12" s="4">
        <f>SUMPRODUCT((Schedule!$C$5:$C$83="Open 4.0")*(Schedule!$D$5:$D$83="League")*ISNUMBER(Schedule!$G$5:$G$83)*ISNUMBER(Schedule!$H$5:$H$83)*((Schedule!$E$5:$E$83=A12)+(Schedule!$F$5:$F$83=A12)))</f>
        <v>0</v>
      </c>
      <c r="C12" s="4">
        <f>SUMPRODUCT((Schedule!$C$5:$C$83="Open 4.0")*(Schedule!$D$5:$D$83="League")*ISNUMBER(Schedule!$G$5:$G$83)*ISNUMBER(Schedule!$H$5:$H$83)*(((Schedule!$E$5:$E$83=A12)*(Schedule!$G$5:$G$83&gt;Schedule!$H$5:$H$83))+((Schedule!$F$5:$F$83=A12)*(Schedule!$H$5:$H$83&gt;Schedule!$G$5:$G$83))))</f>
        <v>0</v>
      </c>
      <c r="D12" s="4">
        <f t="shared" si="0"/>
        <v>0</v>
      </c>
      <c r="E12" s="4">
        <f>SUMPRODUCT((Schedule!$C$5:$C$83="Open 4.0")*(Schedule!$D$5:$D$83="League")*ISNUMBER(Schedule!$G$5:$G$83)*ISNUMBER(Schedule!$H$5:$H$83)*(((Schedule!$E$5:$E$83=A12)*Schedule!$G$5:$G$83)+((Schedule!$F$5:$F$83=A12)*Schedule!$H$5:$H$83)))</f>
        <v>0</v>
      </c>
      <c r="F12" s="4">
        <f>SUMPRODUCT((Schedule!$C$5:$C$83="Open 4.0")*(Schedule!$D$5:$D$83="League")*ISNUMBER(Schedule!$G$5:$G$83)*ISNUMBER(Schedule!$H$5:$H$83)*(((Schedule!$E$5:$E$83=A12)*Schedule!$H$5:$H$83)+((Schedule!$F$5:$F$83=A12)*Schedule!$G$5:$G$83)))</f>
        <v>0</v>
      </c>
      <c r="G12" s="4">
        <f t="shared" si="1"/>
        <v>0</v>
      </c>
      <c r="H12" s="7">
        <f t="shared" si="2"/>
        <v>1</v>
      </c>
      <c r="J12">
        <f t="shared" si="3"/>
        <v>1.2E-2</v>
      </c>
    </row>
    <row r="14" spans="1:10" x14ac:dyDescent="0.25">
      <c r="A14" s="12" t="s">
        <v>175</v>
      </c>
    </row>
  </sheetData>
  <conditionalFormatting sqref="A5:H12">
    <cfRule type="expression" dxfId="1" priority="1">
      <formula>$H5&lt;=4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"/>
  <sheetViews>
    <sheetView workbookViewId="0"/>
  </sheetViews>
  <sheetFormatPr defaultRowHeight="15" x14ac:dyDescent="0.25"/>
  <cols>
    <col min="1" max="1" width="34" customWidth="1"/>
    <col min="2" max="2" width="9" customWidth="1"/>
    <col min="3" max="4" width="8" customWidth="1"/>
    <col min="5" max="5" width="12" customWidth="1"/>
    <col min="6" max="6" width="14" customWidth="1"/>
    <col min="7" max="8" width="8" customWidth="1"/>
    <col min="10" max="10" width="13" hidden="1" customWidth="1"/>
  </cols>
  <sheetData>
    <row r="1" spans="1:10" ht="16.5" x14ac:dyDescent="0.25">
      <c r="A1" s="11" t="s">
        <v>179</v>
      </c>
    </row>
    <row r="2" spans="1:10" x14ac:dyDescent="0.25">
      <c r="A2" s="2" t="s">
        <v>180</v>
      </c>
    </row>
    <row r="4" spans="1:10" ht="30" x14ac:dyDescent="0.25">
      <c r="A4" s="3" t="s">
        <v>167</v>
      </c>
      <c r="B4" s="3" t="s">
        <v>168</v>
      </c>
      <c r="C4" s="3" t="s">
        <v>169</v>
      </c>
      <c r="D4" s="3" t="s">
        <v>170</v>
      </c>
      <c r="E4" s="3" t="s">
        <v>171</v>
      </c>
      <c r="F4" s="3" t="s">
        <v>172</v>
      </c>
      <c r="G4" s="3" t="s">
        <v>173</v>
      </c>
      <c r="H4" s="3" t="s">
        <v>174</v>
      </c>
    </row>
    <row r="5" spans="1:10" x14ac:dyDescent="0.25">
      <c r="A5" s="7" t="s">
        <v>106</v>
      </c>
      <c r="B5" s="4">
        <f>SUMPRODUCT((Schedule!$C$5:$C$83="Social Doubles")*(Schedule!$D$5:$D$83="League")*ISNUMBER(Schedule!$G$5:$G$83)*ISNUMBER(Schedule!$H$5:$H$83)*((Schedule!$E$5:$E$83=A5)+(Schedule!$F$5:$F$83=A5)))</f>
        <v>0</v>
      </c>
      <c r="C5" s="4">
        <f>SUMPRODUCT((Schedule!$C$5:$C$83="Social Doubles")*(Schedule!$D$5:$D$83="League")*ISNUMBER(Schedule!$G$5:$G$83)*ISNUMBER(Schedule!$H$5:$H$83)*(((Schedule!$E$5:$E$83=A5)*(Schedule!$G$5:$G$83&gt;Schedule!$H$5:$H$83))+((Schedule!$F$5:$F$83=A5)*(Schedule!$H$5:$H$83&gt;Schedule!$G$5:$G$83))))</f>
        <v>0</v>
      </c>
      <c r="D5" s="4">
        <f>B5-C5</f>
        <v>0</v>
      </c>
      <c r="E5" s="4">
        <f>SUMPRODUCT((Schedule!$C$5:$C$83="Social Doubles")*(Schedule!$D$5:$D$83="League")*ISNUMBER(Schedule!$G$5:$G$83)*ISNUMBER(Schedule!$H$5:$H$83)*(((Schedule!$E$5:$E$83=A5)*Schedule!$G$5:$G$83)+((Schedule!$F$5:$F$83=A5)*Schedule!$H$5:$H$83)))</f>
        <v>0</v>
      </c>
      <c r="F5" s="4">
        <f>SUMPRODUCT((Schedule!$C$5:$C$83="Social Doubles")*(Schedule!$D$5:$D$83="League")*ISNUMBER(Schedule!$G$5:$G$83)*ISNUMBER(Schedule!$H$5:$H$83)*(((Schedule!$E$5:$E$83=A5)*Schedule!$H$5:$H$83)+((Schedule!$F$5:$F$83=A5)*Schedule!$G$5:$G$83)))</f>
        <v>0</v>
      </c>
      <c r="G5" s="4">
        <f>E5-F5</f>
        <v>0</v>
      </c>
      <c r="H5" s="7">
        <f>RANK(J5,$J$5:$J$8,0)</f>
        <v>4</v>
      </c>
      <c r="J5">
        <f>C5*10000+G5*100+E5+ROW()/1000</f>
        <v>5.0000000000000001E-3</v>
      </c>
    </row>
    <row r="6" spans="1:10" x14ac:dyDescent="0.25">
      <c r="A6" s="7" t="s">
        <v>99</v>
      </c>
      <c r="B6" s="4">
        <f>SUMPRODUCT((Schedule!$C$5:$C$83="Social Doubles")*(Schedule!$D$5:$D$83="League")*ISNUMBER(Schedule!$G$5:$G$83)*ISNUMBER(Schedule!$H$5:$H$83)*((Schedule!$E$5:$E$83=A6)+(Schedule!$F$5:$F$83=A6)))</f>
        <v>0</v>
      </c>
      <c r="C6" s="4">
        <f>SUMPRODUCT((Schedule!$C$5:$C$83="Social Doubles")*(Schedule!$D$5:$D$83="League")*ISNUMBER(Schedule!$G$5:$G$83)*ISNUMBER(Schedule!$H$5:$H$83)*(((Schedule!$E$5:$E$83=A6)*(Schedule!$G$5:$G$83&gt;Schedule!$H$5:$H$83))+((Schedule!$F$5:$F$83=A6)*(Schedule!$H$5:$H$83&gt;Schedule!$G$5:$G$83))))</f>
        <v>0</v>
      </c>
      <c r="D6" s="4">
        <f>B6-C6</f>
        <v>0</v>
      </c>
      <c r="E6" s="4">
        <f>SUMPRODUCT((Schedule!$C$5:$C$83="Social Doubles")*(Schedule!$D$5:$D$83="League")*ISNUMBER(Schedule!$G$5:$G$83)*ISNUMBER(Schedule!$H$5:$H$83)*(((Schedule!$E$5:$E$83=A6)*Schedule!$G$5:$G$83)+((Schedule!$F$5:$F$83=A6)*Schedule!$H$5:$H$83)))</f>
        <v>0</v>
      </c>
      <c r="F6" s="4">
        <f>SUMPRODUCT((Schedule!$C$5:$C$83="Social Doubles")*(Schedule!$D$5:$D$83="League")*ISNUMBER(Schedule!$G$5:$G$83)*ISNUMBER(Schedule!$H$5:$H$83)*(((Schedule!$E$5:$E$83=A6)*Schedule!$H$5:$H$83)+((Schedule!$F$5:$F$83=A6)*Schedule!$G$5:$G$83)))</f>
        <v>0</v>
      </c>
      <c r="G6" s="4">
        <f>E6-F6</f>
        <v>0</v>
      </c>
      <c r="H6" s="7">
        <f>RANK(J6,$J$5:$J$8,0)</f>
        <v>3</v>
      </c>
      <c r="J6">
        <f>C6*10000+G6*100+E6+ROW()/1000</f>
        <v>6.0000000000000001E-3</v>
      </c>
    </row>
    <row r="7" spans="1:10" x14ac:dyDescent="0.25">
      <c r="A7" s="7" t="s">
        <v>100</v>
      </c>
      <c r="B7" s="4">
        <f>SUMPRODUCT((Schedule!$C$5:$C$83="Social Doubles")*(Schedule!$D$5:$D$83="League")*ISNUMBER(Schedule!$G$5:$G$83)*ISNUMBER(Schedule!$H$5:$H$83)*((Schedule!$E$5:$E$83=A7)+(Schedule!$F$5:$F$83=A7)))</f>
        <v>0</v>
      </c>
      <c r="C7" s="4">
        <f>SUMPRODUCT((Schedule!$C$5:$C$83="Social Doubles")*(Schedule!$D$5:$D$83="League")*ISNUMBER(Schedule!$G$5:$G$83)*ISNUMBER(Schedule!$H$5:$H$83)*(((Schedule!$E$5:$E$83=A7)*(Schedule!$G$5:$G$83&gt;Schedule!$H$5:$H$83))+((Schedule!$F$5:$F$83=A7)*(Schedule!$H$5:$H$83&gt;Schedule!$G$5:$G$83))))</f>
        <v>0</v>
      </c>
      <c r="D7" s="4">
        <f>B7-C7</f>
        <v>0</v>
      </c>
      <c r="E7" s="4">
        <f>SUMPRODUCT((Schedule!$C$5:$C$83="Social Doubles")*(Schedule!$D$5:$D$83="League")*ISNUMBER(Schedule!$G$5:$G$83)*ISNUMBER(Schedule!$H$5:$H$83)*(((Schedule!$E$5:$E$83=A7)*Schedule!$G$5:$G$83)+((Schedule!$F$5:$F$83=A7)*Schedule!$H$5:$H$83)))</f>
        <v>0</v>
      </c>
      <c r="F7" s="4">
        <f>SUMPRODUCT((Schedule!$C$5:$C$83="Social Doubles")*(Schedule!$D$5:$D$83="League")*ISNUMBER(Schedule!$G$5:$G$83)*ISNUMBER(Schedule!$H$5:$H$83)*(((Schedule!$E$5:$E$83=A7)*Schedule!$H$5:$H$83)+((Schedule!$F$5:$F$83=A7)*Schedule!$G$5:$G$83)))</f>
        <v>0</v>
      </c>
      <c r="G7" s="4">
        <f>E7-F7</f>
        <v>0</v>
      </c>
      <c r="H7" s="7">
        <f>RANK(J7,$J$5:$J$8,0)</f>
        <v>2</v>
      </c>
      <c r="J7">
        <f>C7*10000+G7*100+E7+ROW()/1000</f>
        <v>7.0000000000000001E-3</v>
      </c>
    </row>
    <row r="8" spans="1:10" x14ac:dyDescent="0.25">
      <c r="A8" s="7" t="s">
        <v>107</v>
      </c>
      <c r="B8" s="4">
        <f>SUMPRODUCT((Schedule!$C$5:$C$83="Social Doubles")*(Schedule!$D$5:$D$83="League")*ISNUMBER(Schedule!$G$5:$G$83)*ISNUMBER(Schedule!$H$5:$H$83)*((Schedule!$E$5:$E$83=A8)+(Schedule!$F$5:$F$83=A8)))</f>
        <v>0</v>
      </c>
      <c r="C8" s="4">
        <f>SUMPRODUCT((Schedule!$C$5:$C$83="Social Doubles")*(Schedule!$D$5:$D$83="League")*ISNUMBER(Schedule!$G$5:$G$83)*ISNUMBER(Schedule!$H$5:$H$83)*(((Schedule!$E$5:$E$83=A8)*(Schedule!$G$5:$G$83&gt;Schedule!$H$5:$H$83))+((Schedule!$F$5:$F$83=A8)*(Schedule!$H$5:$H$83&gt;Schedule!$G$5:$G$83))))</f>
        <v>0</v>
      </c>
      <c r="D8" s="4">
        <f>B8-C8</f>
        <v>0</v>
      </c>
      <c r="E8" s="4">
        <f>SUMPRODUCT((Schedule!$C$5:$C$83="Social Doubles")*(Schedule!$D$5:$D$83="League")*ISNUMBER(Schedule!$G$5:$G$83)*ISNUMBER(Schedule!$H$5:$H$83)*(((Schedule!$E$5:$E$83=A8)*Schedule!$G$5:$G$83)+((Schedule!$F$5:$F$83=A8)*Schedule!$H$5:$H$83)))</f>
        <v>0</v>
      </c>
      <c r="F8" s="4">
        <f>SUMPRODUCT((Schedule!$C$5:$C$83="Social Doubles")*(Schedule!$D$5:$D$83="League")*ISNUMBER(Schedule!$G$5:$G$83)*ISNUMBER(Schedule!$H$5:$H$83)*(((Schedule!$E$5:$E$83=A8)*Schedule!$H$5:$H$83)+((Schedule!$F$5:$F$83=A8)*Schedule!$G$5:$G$83)))</f>
        <v>0</v>
      </c>
      <c r="G8" s="4">
        <f>E8-F8</f>
        <v>0</v>
      </c>
      <c r="H8" s="7">
        <f>RANK(J8,$J$5:$J$8,0)</f>
        <v>1</v>
      </c>
      <c r="J8">
        <f>C8*10000+G8*100+E8+ROW()/1000</f>
        <v>8.0000000000000002E-3</v>
      </c>
    </row>
    <row r="10" spans="1:10" x14ac:dyDescent="0.25">
      <c r="A10" s="12" t="s">
        <v>175</v>
      </c>
    </row>
  </sheetData>
  <conditionalFormatting sqref="A5:H8">
    <cfRule type="expression" dxfId="0" priority="1">
      <formula>$H5&lt;=2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7"/>
  <sheetViews>
    <sheetView workbookViewId="0"/>
  </sheetViews>
  <sheetFormatPr defaultRowHeight="15" x14ac:dyDescent="0.25"/>
  <cols>
    <col min="1" max="1" width="110" customWidth="1"/>
  </cols>
  <sheetData>
    <row r="1" spans="1:1" x14ac:dyDescent="0.25">
      <c r="A1" s="13" t="s">
        <v>181</v>
      </c>
    </row>
    <row r="2" spans="1:1" x14ac:dyDescent="0.25">
      <c r="A2" s="14" t="s">
        <v>182</v>
      </c>
    </row>
    <row r="3" spans="1:1" x14ac:dyDescent="0.25">
      <c r="A3" s="14" t="s">
        <v>183</v>
      </c>
    </row>
    <row r="4" spans="1:1" x14ac:dyDescent="0.25">
      <c r="A4" s="14" t="s">
        <v>184</v>
      </c>
    </row>
    <row r="5" spans="1:1" x14ac:dyDescent="0.25">
      <c r="A5" s="14" t="s">
        <v>185</v>
      </c>
    </row>
    <row r="6" spans="1:1" x14ac:dyDescent="0.25">
      <c r="A6" s="14" t="s">
        <v>186</v>
      </c>
    </row>
    <row r="7" spans="1:1" x14ac:dyDescent="0.25">
      <c r="A7" s="14" t="s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Schedule</vt:lpstr>
      <vt:lpstr>Open 3.0</vt:lpstr>
      <vt:lpstr>Open 3.5</vt:lpstr>
      <vt:lpstr>Mixed Doubles</vt:lpstr>
      <vt:lpstr>Open 4.0</vt:lpstr>
      <vt:lpstr>Social Doubles</vt:lpstr>
      <vt:lpstr>How to use</vt:lpstr>
      <vt:lpstr>Schedule!Print_Titles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Syed</cp:lastModifiedBy>
  <dcterms:created xsi:type="dcterms:W3CDTF">2026-10-24T17:41:35Z</dcterms:created>
  <dcterms:modified xsi:type="dcterms:W3CDTF">2026-10-24T17:41:45Z</dcterms:modified>
</cp:coreProperties>
</file>